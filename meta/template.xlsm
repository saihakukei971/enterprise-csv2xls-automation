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05\Pythonエンベッダブル検証環境\マイム_提案媒体_ツール\meta\"/>
    </mc:Choice>
  </mc:AlternateContent>
  <xr:revisionPtr revIDLastSave="0" documentId="13_ncr:1_{A5141618-A3A3-4EC4-B648-9304D68392FD}" xr6:coauthVersionLast="47" xr6:coauthVersionMax="47" xr10:uidLastSave="{00000000-0000-0000-0000-000000000000}"/>
  <bookViews>
    <workbookView xWindow="28680" yWindow="-120" windowWidth="29040" windowHeight="15720" tabRatio="858" xr2:uid="{00000000-000D-0000-FFFF-FFFF00000000}"/>
  </bookViews>
  <sheets>
    <sheet name="参照" sheetId="17" r:id="rId1"/>
    <sheet name="合計" sheetId="16" r:id="rId2"/>
    <sheet name="アダルト合計" sheetId="13" r:id="rId3"/>
    <sheet name="アダルトその他" sheetId="14" r:id="rId4"/>
    <sheet name="アプリ" sheetId="15" r:id="rId5"/>
    <sheet name="一般合計" sheetId="4" r:id="rId6"/>
    <sheet name="一般その他" sheetId="3" r:id="rId7"/>
    <sheet name="アドネットワーク" sheetId="5" r:id="rId8"/>
    <sheet name="アイモバイル" sheetId="6" r:id="rId9"/>
    <sheet name="zucks" sheetId="19" r:id="rId10"/>
    <sheet name="UZOU" sheetId="7" r:id="rId11"/>
    <sheet name="ADroute" sheetId="9" r:id="rId12"/>
    <sheet name="Cirqua" sheetId="8" r:id="rId13"/>
    <sheet name="Advision" sheetId="10" r:id="rId14"/>
    <sheet name="Octopus" sheetId="11" r:id="rId15"/>
    <sheet name="Arrow" sheetId="12" r:id="rId16"/>
    <sheet name="advoltex" sheetId="20" r:id="rId17"/>
    <sheet name="Geniee" sheetId="21" r:id="rId18"/>
    <sheet name="mixxAD" sheetId="22" r:id="rId19"/>
    <sheet name="9999_EC自社運用" sheetId="1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6" l="1"/>
  <c r="A6" i="16" s="1"/>
  <c r="A7" i="16" s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5" i="1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E35" i="22"/>
  <c r="D35" i="22"/>
  <c r="G35" i="22" s="1"/>
  <c r="C35" i="22"/>
  <c r="B35" i="22"/>
  <c r="E34" i="22"/>
  <c r="D34" i="22" s="1"/>
  <c r="B34" i="22"/>
  <c r="C34" i="22" s="1"/>
  <c r="E33" i="22"/>
  <c r="D33" i="22" s="1"/>
  <c r="B33" i="22"/>
  <c r="C33" i="22" s="1"/>
  <c r="E32" i="22"/>
  <c r="D32" i="22"/>
  <c r="G32" i="22" s="1"/>
  <c r="C32" i="22"/>
  <c r="B32" i="22"/>
  <c r="E31" i="22"/>
  <c r="D31" i="22" s="1"/>
  <c r="B31" i="22"/>
  <c r="C31" i="22" s="1"/>
  <c r="E30" i="22"/>
  <c r="D30" i="22" s="1"/>
  <c r="B30" i="22"/>
  <c r="C30" i="22" s="1"/>
  <c r="E29" i="22"/>
  <c r="D29" i="22"/>
  <c r="G29" i="22" s="1"/>
  <c r="C29" i="22"/>
  <c r="B29" i="22"/>
  <c r="E28" i="22"/>
  <c r="D28" i="22" s="1"/>
  <c r="B28" i="22"/>
  <c r="C28" i="22" s="1"/>
  <c r="E27" i="22"/>
  <c r="D27" i="22" s="1"/>
  <c r="B27" i="22"/>
  <c r="C27" i="22" s="1"/>
  <c r="E26" i="22"/>
  <c r="D26" i="22"/>
  <c r="G26" i="22" s="1"/>
  <c r="C26" i="22"/>
  <c r="B26" i="22"/>
  <c r="E25" i="22"/>
  <c r="D25" i="22" s="1"/>
  <c r="C25" i="22"/>
  <c r="B25" i="22"/>
  <c r="E24" i="22"/>
  <c r="D24" i="22" s="1"/>
  <c r="B24" i="22"/>
  <c r="C24" i="22" s="1"/>
  <c r="E23" i="22"/>
  <c r="D23" i="22"/>
  <c r="G23" i="22" s="1"/>
  <c r="C23" i="22"/>
  <c r="B23" i="22"/>
  <c r="E22" i="22"/>
  <c r="D22" i="22" s="1"/>
  <c r="C22" i="22"/>
  <c r="B22" i="22"/>
  <c r="E21" i="22"/>
  <c r="D21" i="22" s="1"/>
  <c r="B21" i="22"/>
  <c r="C21" i="22" s="1"/>
  <c r="E20" i="22"/>
  <c r="D20" i="22"/>
  <c r="G20" i="22" s="1"/>
  <c r="C20" i="22"/>
  <c r="B20" i="22"/>
  <c r="E19" i="22"/>
  <c r="D19" i="22" s="1"/>
  <c r="B19" i="22"/>
  <c r="C19" i="22" s="1"/>
  <c r="E18" i="22"/>
  <c r="D18" i="22" s="1"/>
  <c r="B18" i="22"/>
  <c r="C18" i="22" s="1"/>
  <c r="E17" i="22"/>
  <c r="D17" i="22" s="1"/>
  <c r="B17" i="22"/>
  <c r="C17" i="22" s="1"/>
  <c r="E16" i="22"/>
  <c r="D16" i="22" s="1"/>
  <c r="B16" i="22"/>
  <c r="C16" i="22" s="1"/>
  <c r="E15" i="22"/>
  <c r="D15" i="22" s="1"/>
  <c r="B15" i="22"/>
  <c r="C15" i="22" s="1"/>
  <c r="E14" i="22"/>
  <c r="D14" i="22" s="1"/>
  <c r="B14" i="22"/>
  <c r="C14" i="22" s="1"/>
  <c r="E13" i="22"/>
  <c r="D13" i="22" s="1"/>
  <c r="B13" i="22"/>
  <c r="C13" i="22" s="1"/>
  <c r="E12" i="22"/>
  <c r="D12" i="22" s="1"/>
  <c r="B12" i="22"/>
  <c r="C12" i="22" s="1"/>
  <c r="E11" i="22"/>
  <c r="D11" i="22" s="1"/>
  <c r="B11" i="22"/>
  <c r="C11" i="22" s="1"/>
  <c r="E10" i="22"/>
  <c r="D10" i="22" s="1"/>
  <c r="B10" i="22"/>
  <c r="C10" i="22" s="1"/>
  <c r="E9" i="22"/>
  <c r="D9" i="22" s="1"/>
  <c r="B9" i="22"/>
  <c r="C9" i="22" s="1"/>
  <c r="E8" i="22"/>
  <c r="D8" i="22"/>
  <c r="C8" i="22"/>
  <c r="B8" i="22"/>
  <c r="E7" i="22"/>
  <c r="D7" i="22" s="1"/>
  <c r="B7" i="22"/>
  <c r="C7" i="22" s="1"/>
  <c r="E6" i="22"/>
  <c r="D6" i="22" s="1"/>
  <c r="B6" i="22"/>
  <c r="C6" i="22" s="1"/>
  <c r="E5" i="22"/>
  <c r="D5" i="22"/>
  <c r="G5" i="22" s="1"/>
  <c r="C5" i="22"/>
  <c r="B5" i="22"/>
  <c r="E35" i="21"/>
  <c r="D35" i="21"/>
  <c r="G35" i="21" s="1"/>
  <c r="C35" i="21"/>
  <c r="B35" i="21"/>
  <c r="E34" i="21"/>
  <c r="D34" i="21" s="1"/>
  <c r="C34" i="21"/>
  <c r="B34" i="21"/>
  <c r="E33" i="21"/>
  <c r="D33" i="21" s="1"/>
  <c r="B33" i="21"/>
  <c r="C33" i="21" s="1"/>
  <c r="E32" i="21"/>
  <c r="D32" i="21"/>
  <c r="G32" i="21" s="1"/>
  <c r="C32" i="21"/>
  <c r="B32" i="21"/>
  <c r="E31" i="21"/>
  <c r="D31" i="21" s="1"/>
  <c r="C31" i="21"/>
  <c r="B31" i="21"/>
  <c r="E30" i="21"/>
  <c r="D30" i="21" s="1"/>
  <c r="B30" i="21"/>
  <c r="C30" i="21" s="1"/>
  <c r="E29" i="21"/>
  <c r="D29" i="21"/>
  <c r="F29" i="21" s="1"/>
  <c r="C29" i="21"/>
  <c r="G29" i="21" s="1"/>
  <c r="B29" i="21"/>
  <c r="E28" i="21"/>
  <c r="D28" i="21" s="1"/>
  <c r="C28" i="21"/>
  <c r="B28" i="21"/>
  <c r="E27" i="21"/>
  <c r="D27" i="21" s="1"/>
  <c r="B27" i="21"/>
  <c r="C27" i="21" s="1"/>
  <c r="E26" i="21"/>
  <c r="D26" i="21"/>
  <c r="F26" i="21" s="1"/>
  <c r="C26" i="21"/>
  <c r="G26" i="21" s="1"/>
  <c r="B26" i="21"/>
  <c r="E25" i="21"/>
  <c r="D25" i="21" s="1"/>
  <c r="C25" i="21"/>
  <c r="B25" i="21"/>
  <c r="E24" i="21"/>
  <c r="D24" i="21" s="1"/>
  <c r="B24" i="21"/>
  <c r="C24" i="21" s="1"/>
  <c r="E23" i="21"/>
  <c r="D23" i="21"/>
  <c r="F23" i="21" s="1"/>
  <c r="C23" i="21"/>
  <c r="G23" i="21" s="1"/>
  <c r="B23" i="21"/>
  <c r="E22" i="21"/>
  <c r="D22" i="21" s="1"/>
  <c r="C22" i="21"/>
  <c r="B22" i="21"/>
  <c r="E21" i="21"/>
  <c r="D21" i="21" s="1"/>
  <c r="B21" i="21"/>
  <c r="C21" i="21" s="1"/>
  <c r="E20" i="21"/>
  <c r="D20" i="21"/>
  <c r="F20" i="21" s="1"/>
  <c r="C20" i="21"/>
  <c r="G20" i="21" s="1"/>
  <c r="B20" i="21"/>
  <c r="E19" i="21"/>
  <c r="D19" i="21" s="1"/>
  <c r="B19" i="21"/>
  <c r="C19" i="21" s="1"/>
  <c r="E18" i="21"/>
  <c r="D18" i="21" s="1"/>
  <c r="B18" i="21"/>
  <c r="C18" i="21" s="1"/>
  <c r="E17" i="21"/>
  <c r="D17" i="21" s="1"/>
  <c r="B17" i="21"/>
  <c r="C17" i="21" s="1"/>
  <c r="E16" i="21"/>
  <c r="D16" i="21" s="1"/>
  <c r="B16" i="21"/>
  <c r="C16" i="21" s="1"/>
  <c r="E15" i="21"/>
  <c r="D15" i="21" s="1"/>
  <c r="B15" i="21"/>
  <c r="C15" i="21" s="1"/>
  <c r="E14" i="21"/>
  <c r="D14" i="21" s="1"/>
  <c r="B14" i="21"/>
  <c r="C14" i="21" s="1"/>
  <c r="E13" i="21"/>
  <c r="D13" i="21" s="1"/>
  <c r="B13" i="21"/>
  <c r="C13" i="21" s="1"/>
  <c r="E12" i="21"/>
  <c r="D12" i="21" s="1"/>
  <c r="B12" i="21"/>
  <c r="C12" i="21" s="1"/>
  <c r="E11" i="21"/>
  <c r="D11" i="21" s="1"/>
  <c r="B11" i="21"/>
  <c r="C11" i="21" s="1"/>
  <c r="E10" i="21"/>
  <c r="D10" i="21" s="1"/>
  <c r="B10" i="21"/>
  <c r="C10" i="21" s="1"/>
  <c r="E9" i="21"/>
  <c r="D9" i="21" s="1"/>
  <c r="B9" i="21"/>
  <c r="C9" i="21" s="1"/>
  <c r="E8" i="21"/>
  <c r="D8" i="21"/>
  <c r="B8" i="21"/>
  <c r="C8" i="21" s="1"/>
  <c r="G8" i="21" s="1"/>
  <c r="E7" i="21"/>
  <c r="D7" i="21" s="1"/>
  <c r="B7" i="21"/>
  <c r="C7" i="21" s="1"/>
  <c r="E6" i="21"/>
  <c r="D6" i="21" s="1"/>
  <c r="B6" i="21"/>
  <c r="C6" i="21" s="1"/>
  <c r="E5" i="21"/>
  <c r="D5" i="21"/>
  <c r="B5" i="21"/>
  <c r="C5" i="21" s="1"/>
  <c r="G5" i="21" s="1"/>
  <c r="E35" i="20"/>
  <c r="D35" i="20"/>
  <c r="G35" i="20" s="1"/>
  <c r="C35" i="20"/>
  <c r="B35" i="20"/>
  <c r="E34" i="20"/>
  <c r="D34" i="20" s="1"/>
  <c r="B34" i="20"/>
  <c r="C34" i="20" s="1"/>
  <c r="E33" i="20"/>
  <c r="D33" i="20"/>
  <c r="B33" i="20"/>
  <c r="C33" i="20" s="1"/>
  <c r="G33" i="20" s="1"/>
  <c r="E32" i="20"/>
  <c r="D32" i="20"/>
  <c r="G32" i="20" s="1"/>
  <c r="C32" i="20"/>
  <c r="B32" i="20"/>
  <c r="E31" i="20"/>
  <c r="D31" i="20" s="1"/>
  <c r="B31" i="20"/>
  <c r="C31" i="20" s="1"/>
  <c r="E30" i="20"/>
  <c r="D30" i="20"/>
  <c r="F30" i="20" s="1"/>
  <c r="B30" i="20"/>
  <c r="C30" i="20" s="1"/>
  <c r="G30" i="20" s="1"/>
  <c r="E29" i="20"/>
  <c r="D29" i="20"/>
  <c r="G29" i="20" s="1"/>
  <c r="C29" i="20"/>
  <c r="B29" i="20"/>
  <c r="E28" i="20"/>
  <c r="D28" i="20" s="1"/>
  <c r="B28" i="20"/>
  <c r="C28" i="20" s="1"/>
  <c r="E27" i="20"/>
  <c r="D27" i="20"/>
  <c r="B27" i="20"/>
  <c r="C27" i="20" s="1"/>
  <c r="G27" i="20" s="1"/>
  <c r="E26" i="20"/>
  <c r="D26" i="20"/>
  <c r="G26" i="20" s="1"/>
  <c r="C26" i="20"/>
  <c r="B26" i="20"/>
  <c r="E25" i="20"/>
  <c r="D25" i="20" s="1"/>
  <c r="B25" i="20"/>
  <c r="C25" i="20" s="1"/>
  <c r="E24" i="20"/>
  <c r="D24" i="20"/>
  <c r="F24" i="20" s="1"/>
  <c r="B24" i="20"/>
  <c r="C24" i="20" s="1"/>
  <c r="G24" i="20" s="1"/>
  <c r="E23" i="20"/>
  <c r="D23" i="20"/>
  <c r="G23" i="20" s="1"/>
  <c r="C23" i="20"/>
  <c r="B23" i="20"/>
  <c r="E22" i="20"/>
  <c r="D22" i="20" s="1"/>
  <c r="B22" i="20"/>
  <c r="C22" i="20" s="1"/>
  <c r="E21" i="20"/>
  <c r="D21" i="20"/>
  <c r="B21" i="20"/>
  <c r="C21" i="20" s="1"/>
  <c r="G21" i="20" s="1"/>
  <c r="E20" i="20"/>
  <c r="D20" i="20"/>
  <c r="G20" i="20" s="1"/>
  <c r="C20" i="20"/>
  <c r="B20" i="20"/>
  <c r="E19" i="20"/>
  <c r="D19" i="20" s="1"/>
  <c r="B19" i="20"/>
  <c r="C19" i="20" s="1"/>
  <c r="E18" i="20"/>
  <c r="D18" i="20" s="1"/>
  <c r="B18" i="20"/>
  <c r="C18" i="20" s="1"/>
  <c r="E17" i="20"/>
  <c r="D17" i="20" s="1"/>
  <c r="B17" i="20"/>
  <c r="C17" i="20" s="1"/>
  <c r="E16" i="20"/>
  <c r="D16" i="20" s="1"/>
  <c r="B16" i="20"/>
  <c r="C16" i="20" s="1"/>
  <c r="E15" i="20"/>
  <c r="D15" i="20" s="1"/>
  <c r="B15" i="20"/>
  <c r="C15" i="20" s="1"/>
  <c r="E14" i="20"/>
  <c r="D14" i="20" s="1"/>
  <c r="B14" i="20"/>
  <c r="C14" i="20" s="1"/>
  <c r="E13" i="20"/>
  <c r="D13" i="20" s="1"/>
  <c r="B13" i="20"/>
  <c r="C13" i="20" s="1"/>
  <c r="E12" i="20"/>
  <c r="D12" i="20" s="1"/>
  <c r="B12" i="20"/>
  <c r="C12" i="20" s="1"/>
  <c r="E11" i="20"/>
  <c r="D11" i="20" s="1"/>
  <c r="B11" i="20"/>
  <c r="C11" i="20" s="1"/>
  <c r="E10" i="20"/>
  <c r="D10" i="20" s="1"/>
  <c r="B10" i="20"/>
  <c r="C10" i="20" s="1"/>
  <c r="E9" i="20"/>
  <c r="D9" i="20" s="1"/>
  <c r="B9" i="20"/>
  <c r="C9" i="20" s="1"/>
  <c r="E8" i="20"/>
  <c r="D8" i="20" s="1"/>
  <c r="B8" i="20"/>
  <c r="C8" i="20" s="1"/>
  <c r="E7" i="20"/>
  <c r="D7" i="20" s="1"/>
  <c r="B7" i="20"/>
  <c r="C7" i="20" s="1"/>
  <c r="E6" i="20"/>
  <c r="D6" i="20" s="1"/>
  <c r="F6" i="20" s="1"/>
  <c r="B6" i="20"/>
  <c r="C6" i="20" s="1"/>
  <c r="E5" i="20"/>
  <c r="D5" i="20" s="1"/>
  <c r="B5" i="20"/>
  <c r="C5" i="20" s="1"/>
  <c r="C5" i="15"/>
  <c r="P2" i="17"/>
  <c r="E18" i="14"/>
  <c r="E33" i="3"/>
  <c r="D33" i="3" s="1"/>
  <c r="E29" i="3"/>
  <c r="D29" i="3" s="1"/>
  <c r="E30" i="3"/>
  <c r="D30" i="3" s="1"/>
  <c r="E31" i="3"/>
  <c r="D31" i="3" s="1"/>
  <c r="E32" i="3"/>
  <c r="D32" i="3" s="1"/>
  <c r="E34" i="3"/>
  <c r="D34" i="3" s="1"/>
  <c r="E35" i="3"/>
  <c r="D35" i="3" s="1"/>
  <c r="E28" i="3"/>
  <c r="D28" i="3" s="1"/>
  <c r="E25" i="10"/>
  <c r="G8" i="22" l="1"/>
  <c r="F5" i="21"/>
  <c r="F8" i="21"/>
  <c r="G8" i="20"/>
  <c r="G5" i="20"/>
  <c r="G9" i="20"/>
  <c r="G6" i="20"/>
  <c r="A8" i="16"/>
  <c r="A7" i="21"/>
  <c r="I7" i="21" s="1"/>
  <c r="A7" i="20"/>
  <c r="I7" i="20" s="1"/>
  <c r="A7" i="22"/>
  <c r="I7" i="22" s="1"/>
  <c r="A6" i="21"/>
  <c r="I6" i="21" s="1"/>
  <c r="A6" i="22"/>
  <c r="I6" i="22" s="1"/>
  <c r="A6" i="20"/>
  <c r="I6" i="20" s="1"/>
  <c r="A5" i="21"/>
  <c r="I5" i="21" s="1"/>
  <c r="A5" i="20"/>
  <c r="I5" i="20" s="1"/>
  <c r="A5" i="22"/>
  <c r="I5" i="22" s="1"/>
  <c r="G18" i="20"/>
  <c r="G17" i="22"/>
  <c r="F17" i="21"/>
  <c r="G17" i="21"/>
  <c r="G17" i="20"/>
  <c r="G15" i="20"/>
  <c r="G14" i="22"/>
  <c r="B36" i="22"/>
  <c r="C36" i="22" s="1"/>
  <c r="F14" i="21"/>
  <c r="G14" i="21"/>
  <c r="G14" i="20"/>
  <c r="F12" i="20"/>
  <c r="G12" i="20"/>
  <c r="G11" i="22"/>
  <c r="F11" i="21"/>
  <c r="B36" i="21"/>
  <c r="C36" i="21" s="1"/>
  <c r="G11" i="21"/>
  <c r="G11" i="20"/>
  <c r="B36" i="20"/>
  <c r="C36" i="20" s="1"/>
  <c r="F31" i="22"/>
  <c r="G31" i="22"/>
  <c r="G28" i="22"/>
  <c r="F28" i="22"/>
  <c r="G7" i="22"/>
  <c r="F7" i="22"/>
  <c r="F10" i="22"/>
  <c r="G10" i="22"/>
  <c r="F13" i="22"/>
  <c r="G13" i="22"/>
  <c r="F16" i="22"/>
  <c r="G16" i="22"/>
  <c r="F19" i="22"/>
  <c r="G19" i="22"/>
  <c r="F22" i="22"/>
  <c r="G22" i="22"/>
  <c r="F25" i="22"/>
  <c r="G25" i="22"/>
  <c r="F33" i="22"/>
  <c r="G33" i="22"/>
  <c r="F30" i="22"/>
  <c r="G30" i="22"/>
  <c r="F6" i="22"/>
  <c r="G6" i="22"/>
  <c r="F9" i="22"/>
  <c r="G9" i="22"/>
  <c r="F12" i="22"/>
  <c r="G12" i="22"/>
  <c r="F15" i="22"/>
  <c r="G15" i="22"/>
  <c r="F18" i="22"/>
  <c r="G18" i="22"/>
  <c r="F21" i="22"/>
  <c r="G21" i="22"/>
  <c r="F24" i="22"/>
  <c r="G24" i="22"/>
  <c r="F27" i="22"/>
  <c r="G27" i="22"/>
  <c r="F34" i="22"/>
  <c r="G34" i="22"/>
  <c r="D36" i="22"/>
  <c r="F5" i="22"/>
  <c r="F8" i="22"/>
  <c r="F11" i="22"/>
  <c r="F14" i="22"/>
  <c r="F17" i="22"/>
  <c r="F20" i="22"/>
  <c r="F23" i="22"/>
  <c r="F26" i="22"/>
  <c r="F29" i="22"/>
  <c r="F32" i="22"/>
  <c r="F35" i="22"/>
  <c r="F9" i="21"/>
  <c r="G9" i="21"/>
  <c r="F18" i="21"/>
  <c r="G18" i="21"/>
  <c r="F24" i="21"/>
  <c r="G24" i="21"/>
  <c r="F30" i="21"/>
  <c r="G30" i="21"/>
  <c r="F33" i="21"/>
  <c r="G33" i="21"/>
  <c r="F27" i="21"/>
  <c r="G27" i="21"/>
  <c r="F6" i="21"/>
  <c r="G6" i="21"/>
  <c r="F12" i="21"/>
  <c r="G12" i="21"/>
  <c r="F15" i="21"/>
  <c r="G15" i="21"/>
  <c r="F21" i="21"/>
  <c r="G21" i="21"/>
  <c r="F7" i="21"/>
  <c r="G7" i="21"/>
  <c r="G10" i="21"/>
  <c r="F10" i="21"/>
  <c r="G13" i="21"/>
  <c r="F13" i="21"/>
  <c r="F16" i="21"/>
  <c r="G16" i="21"/>
  <c r="G19" i="21"/>
  <c r="F19" i="21"/>
  <c r="G22" i="21"/>
  <c r="F22" i="21"/>
  <c r="G25" i="21"/>
  <c r="F25" i="21"/>
  <c r="G28" i="21"/>
  <c r="F28" i="21"/>
  <c r="G31" i="21"/>
  <c r="F31" i="21"/>
  <c r="G34" i="21"/>
  <c r="F34" i="21"/>
  <c r="D36" i="21"/>
  <c r="F32" i="21"/>
  <c r="F35" i="21"/>
  <c r="F33" i="20"/>
  <c r="G25" i="20"/>
  <c r="F25" i="20"/>
  <c r="G10" i="20"/>
  <c r="F10" i="20"/>
  <c r="F21" i="20"/>
  <c r="G28" i="20"/>
  <c r="F28" i="20"/>
  <c r="G31" i="20"/>
  <c r="F31" i="20"/>
  <c r="F19" i="20"/>
  <c r="G19" i="20"/>
  <c r="F15" i="20"/>
  <c r="G22" i="20"/>
  <c r="F22" i="20"/>
  <c r="F7" i="20"/>
  <c r="G7" i="20"/>
  <c r="F18" i="20"/>
  <c r="F13" i="20"/>
  <c r="G13" i="20"/>
  <c r="F9" i="20"/>
  <c r="F16" i="20"/>
  <c r="G16" i="20"/>
  <c r="F27" i="20"/>
  <c r="G34" i="20"/>
  <c r="F34" i="20"/>
  <c r="D36" i="20"/>
  <c r="F11" i="20"/>
  <c r="F14" i="20"/>
  <c r="F29" i="20"/>
  <c r="F35" i="20"/>
  <c r="F5" i="20"/>
  <c r="F17" i="20"/>
  <c r="F26" i="20"/>
  <c r="F32" i="20"/>
  <c r="F8" i="20"/>
  <c r="F20" i="20"/>
  <c r="F23" i="20"/>
  <c r="C8" i="1"/>
  <c r="A7" i="1"/>
  <c r="A6" i="1"/>
  <c r="A5" i="1"/>
  <c r="A7" i="12"/>
  <c r="A6" i="12"/>
  <c r="A5" i="12"/>
  <c r="A7" i="11"/>
  <c r="A6" i="11"/>
  <c r="A5" i="11"/>
  <c r="A7" i="10"/>
  <c r="A6" i="10"/>
  <c r="A5" i="10"/>
  <c r="A7" i="9"/>
  <c r="A6" i="9"/>
  <c r="A5" i="9"/>
  <c r="A7" i="8"/>
  <c r="A6" i="8"/>
  <c r="A5" i="8"/>
  <c r="A7" i="7"/>
  <c r="A6" i="7"/>
  <c r="A5" i="7"/>
  <c r="A7" i="19"/>
  <c r="A6" i="19"/>
  <c r="A5" i="19"/>
  <c r="A7" i="6"/>
  <c r="A6" i="6"/>
  <c r="A5" i="6"/>
  <c r="B7" i="5"/>
  <c r="B6" i="5"/>
  <c r="B5" i="5"/>
  <c r="A7" i="3"/>
  <c r="A6" i="3"/>
  <c r="A5" i="3"/>
  <c r="B7" i="4"/>
  <c r="B6" i="4"/>
  <c r="B5" i="4"/>
  <c r="A7" i="15"/>
  <c r="A6" i="15"/>
  <c r="A5" i="15"/>
  <c r="A7" i="14"/>
  <c r="I7" i="14" s="1"/>
  <c r="A6" i="14"/>
  <c r="I6" i="14" s="1"/>
  <c r="A5" i="14"/>
  <c r="I5" i="14" s="1"/>
  <c r="B6" i="13"/>
  <c r="B7" i="13"/>
  <c r="B5" i="13"/>
  <c r="A8" i="11" l="1"/>
  <c r="I8" i="11" s="1"/>
  <c r="A8" i="12"/>
  <c r="I8" i="12" s="1"/>
  <c r="B8" i="13"/>
  <c r="A8" i="15"/>
  <c r="A8" i="8"/>
  <c r="I8" i="8" s="1"/>
  <c r="A8" i="14"/>
  <c r="I8" i="14" s="1"/>
  <c r="B8" i="4"/>
  <c r="A8" i="19"/>
  <c r="I8" i="19" s="1"/>
  <c r="A8" i="1"/>
  <c r="A8" i="9"/>
  <c r="I8" i="9" s="1"/>
  <c r="A8" i="7"/>
  <c r="I8" i="7" s="1"/>
  <c r="A8" i="3"/>
  <c r="I8" i="3" s="1"/>
  <c r="B8" i="5"/>
  <c r="A8" i="10"/>
  <c r="I8" i="10" s="1"/>
  <c r="A8" i="6"/>
  <c r="I8" i="6" s="1"/>
  <c r="A9" i="16"/>
  <c r="A8" i="21"/>
  <c r="I8" i="21" s="1"/>
  <c r="A8" i="20"/>
  <c r="I8" i="20" s="1"/>
  <c r="A8" i="22"/>
  <c r="I8" i="22" s="1"/>
  <c r="G36" i="22"/>
  <c r="F36" i="22"/>
  <c r="E36" i="22"/>
  <c r="G36" i="21"/>
  <c r="F36" i="21"/>
  <c r="E36" i="21"/>
  <c r="G36" i="20"/>
  <c r="F36" i="20"/>
  <c r="E36" i="20"/>
  <c r="E35" i="19"/>
  <c r="D35" i="19" s="1"/>
  <c r="B35" i="19"/>
  <c r="C35" i="19" s="1"/>
  <c r="E34" i="19"/>
  <c r="D34" i="19" s="1"/>
  <c r="B34" i="19"/>
  <c r="C34" i="19" s="1"/>
  <c r="E33" i="19"/>
  <c r="D33" i="19" s="1"/>
  <c r="B33" i="19"/>
  <c r="C33" i="19" s="1"/>
  <c r="E32" i="19"/>
  <c r="D32" i="19" s="1"/>
  <c r="B32" i="19"/>
  <c r="C32" i="19" s="1"/>
  <c r="E31" i="19"/>
  <c r="D31" i="19" s="1"/>
  <c r="B31" i="19"/>
  <c r="C31" i="19" s="1"/>
  <c r="E30" i="19"/>
  <c r="D30" i="19" s="1"/>
  <c r="B30" i="19"/>
  <c r="C30" i="19" s="1"/>
  <c r="E29" i="19"/>
  <c r="D29" i="19" s="1"/>
  <c r="B29" i="19"/>
  <c r="C29" i="19" s="1"/>
  <c r="E28" i="19"/>
  <c r="D28" i="19" s="1"/>
  <c r="B28" i="19"/>
  <c r="C28" i="19" s="1"/>
  <c r="E27" i="19"/>
  <c r="D27" i="19" s="1"/>
  <c r="B27" i="19"/>
  <c r="C27" i="19" s="1"/>
  <c r="E26" i="19"/>
  <c r="D26" i="19" s="1"/>
  <c r="B26" i="19"/>
  <c r="C26" i="19" s="1"/>
  <c r="E25" i="19"/>
  <c r="D25" i="19" s="1"/>
  <c r="B25" i="19"/>
  <c r="C25" i="19" s="1"/>
  <c r="E24" i="19"/>
  <c r="D24" i="19" s="1"/>
  <c r="B24" i="19"/>
  <c r="C24" i="19" s="1"/>
  <c r="E23" i="19"/>
  <c r="D23" i="19" s="1"/>
  <c r="B23" i="19"/>
  <c r="C23" i="19" s="1"/>
  <c r="E22" i="19"/>
  <c r="D22" i="19" s="1"/>
  <c r="B22" i="19"/>
  <c r="C22" i="19" s="1"/>
  <c r="E21" i="19"/>
  <c r="D21" i="19" s="1"/>
  <c r="B21" i="19"/>
  <c r="C21" i="19" s="1"/>
  <c r="E20" i="19"/>
  <c r="D20" i="19" s="1"/>
  <c r="B20" i="19"/>
  <c r="C20" i="19" s="1"/>
  <c r="E19" i="19"/>
  <c r="D19" i="19" s="1"/>
  <c r="B19" i="19"/>
  <c r="C19" i="19" s="1"/>
  <c r="E18" i="19"/>
  <c r="D18" i="19" s="1"/>
  <c r="B18" i="19"/>
  <c r="C18" i="19" s="1"/>
  <c r="E17" i="19"/>
  <c r="D17" i="19" s="1"/>
  <c r="B17" i="19"/>
  <c r="C17" i="19" s="1"/>
  <c r="E16" i="19"/>
  <c r="D16" i="19" s="1"/>
  <c r="B16" i="19"/>
  <c r="C16" i="19" s="1"/>
  <c r="E15" i="19"/>
  <c r="D15" i="19" s="1"/>
  <c r="B15" i="19"/>
  <c r="C15" i="19" s="1"/>
  <c r="E14" i="19"/>
  <c r="D14" i="19" s="1"/>
  <c r="B14" i="19"/>
  <c r="C14" i="19" s="1"/>
  <c r="E13" i="19"/>
  <c r="D13" i="19" s="1"/>
  <c r="B13" i="19"/>
  <c r="C13" i="19" s="1"/>
  <c r="E12" i="19"/>
  <c r="D12" i="19" s="1"/>
  <c r="B12" i="19"/>
  <c r="C12" i="19" s="1"/>
  <c r="E11" i="19"/>
  <c r="D11" i="19" s="1"/>
  <c r="B11" i="19"/>
  <c r="C11" i="19" s="1"/>
  <c r="E10" i="19"/>
  <c r="D10" i="19" s="1"/>
  <c r="B10" i="19"/>
  <c r="C10" i="19" s="1"/>
  <c r="E9" i="19"/>
  <c r="D9" i="19" s="1"/>
  <c r="B9" i="19"/>
  <c r="C9" i="19" s="1"/>
  <c r="E8" i="19"/>
  <c r="D8" i="19" s="1"/>
  <c r="B8" i="19"/>
  <c r="C8" i="19" s="1"/>
  <c r="E7" i="19"/>
  <c r="D7" i="19" s="1"/>
  <c r="B7" i="19"/>
  <c r="C7" i="19" s="1"/>
  <c r="I7" i="19"/>
  <c r="E6" i="19"/>
  <c r="D6" i="19" s="1"/>
  <c r="B6" i="19"/>
  <c r="C6" i="19" s="1"/>
  <c r="I6" i="19"/>
  <c r="E5" i="19"/>
  <c r="D5" i="19" s="1"/>
  <c r="B5" i="19"/>
  <c r="I5" i="19"/>
  <c r="K2" i="19"/>
  <c r="J2" i="19"/>
  <c r="E35" i="6"/>
  <c r="D35" i="6" s="1"/>
  <c r="B35" i="6"/>
  <c r="C35" i="6" s="1"/>
  <c r="E34" i="6"/>
  <c r="D34" i="6" s="1"/>
  <c r="B34" i="6"/>
  <c r="C34" i="6" s="1"/>
  <c r="E33" i="6"/>
  <c r="D33" i="6" s="1"/>
  <c r="B33" i="6"/>
  <c r="C33" i="6" s="1"/>
  <c r="E32" i="6"/>
  <c r="D32" i="6" s="1"/>
  <c r="B32" i="6"/>
  <c r="C32" i="6" s="1"/>
  <c r="E31" i="6"/>
  <c r="D31" i="6" s="1"/>
  <c r="B31" i="6"/>
  <c r="C31" i="6" s="1"/>
  <c r="E30" i="6"/>
  <c r="D30" i="6" s="1"/>
  <c r="B30" i="6"/>
  <c r="C30" i="6" s="1"/>
  <c r="E29" i="6"/>
  <c r="D29" i="6" s="1"/>
  <c r="B29" i="6"/>
  <c r="C29" i="6" s="1"/>
  <c r="E28" i="6"/>
  <c r="D28" i="6" s="1"/>
  <c r="B28" i="6"/>
  <c r="C28" i="6" s="1"/>
  <c r="E27" i="6"/>
  <c r="D27" i="6" s="1"/>
  <c r="B27" i="6"/>
  <c r="C27" i="6" s="1"/>
  <c r="E26" i="6"/>
  <c r="D26" i="6" s="1"/>
  <c r="B26" i="6"/>
  <c r="C26" i="6" s="1"/>
  <c r="E25" i="6"/>
  <c r="D25" i="6" s="1"/>
  <c r="B25" i="6"/>
  <c r="C25" i="6" s="1"/>
  <c r="E24" i="6"/>
  <c r="D24" i="6" s="1"/>
  <c r="B24" i="6"/>
  <c r="C24" i="6" s="1"/>
  <c r="E23" i="6"/>
  <c r="D23" i="6" s="1"/>
  <c r="B23" i="6"/>
  <c r="C23" i="6" s="1"/>
  <c r="E22" i="6"/>
  <c r="D22" i="6" s="1"/>
  <c r="B22" i="6"/>
  <c r="C22" i="6" s="1"/>
  <c r="E21" i="6"/>
  <c r="D21" i="6" s="1"/>
  <c r="B21" i="6"/>
  <c r="C21" i="6" s="1"/>
  <c r="E20" i="6"/>
  <c r="D20" i="6" s="1"/>
  <c r="B20" i="6"/>
  <c r="C20" i="6" s="1"/>
  <c r="E19" i="6"/>
  <c r="D19" i="6" s="1"/>
  <c r="B19" i="6"/>
  <c r="C19" i="6" s="1"/>
  <c r="E18" i="6"/>
  <c r="D18" i="6" s="1"/>
  <c r="B18" i="6"/>
  <c r="C18" i="6" s="1"/>
  <c r="E17" i="6"/>
  <c r="D17" i="6" s="1"/>
  <c r="B17" i="6"/>
  <c r="C17" i="6" s="1"/>
  <c r="E16" i="6"/>
  <c r="D16" i="6" s="1"/>
  <c r="B16" i="6"/>
  <c r="C16" i="6" s="1"/>
  <c r="E15" i="6"/>
  <c r="D15" i="6" s="1"/>
  <c r="B15" i="6"/>
  <c r="C15" i="6" s="1"/>
  <c r="E14" i="6"/>
  <c r="D14" i="6" s="1"/>
  <c r="B14" i="6"/>
  <c r="C14" i="6" s="1"/>
  <c r="E13" i="6"/>
  <c r="D13" i="6" s="1"/>
  <c r="B13" i="6"/>
  <c r="C13" i="6" s="1"/>
  <c r="E12" i="6"/>
  <c r="D12" i="6" s="1"/>
  <c r="B12" i="6"/>
  <c r="C12" i="6" s="1"/>
  <c r="E11" i="6"/>
  <c r="D11" i="6" s="1"/>
  <c r="B11" i="6"/>
  <c r="C11" i="6" s="1"/>
  <c r="E10" i="6"/>
  <c r="D10" i="6" s="1"/>
  <c r="B10" i="6"/>
  <c r="C10" i="6" s="1"/>
  <c r="E9" i="6"/>
  <c r="D9" i="6" s="1"/>
  <c r="B9" i="6"/>
  <c r="C9" i="6" s="1"/>
  <c r="E8" i="6"/>
  <c r="D8" i="6" s="1"/>
  <c r="B8" i="6"/>
  <c r="C8" i="6" s="1"/>
  <c r="E7" i="6"/>
  <c r="D7" i="6" s="1"/>
  <c r="B7" i="6"/>
  <c r="C7" i="6" s="1"/>
  <c r="I7" i="6"/>
  <c r="E6" i="6"/>
  <c r="D6" i="6" s="1"/>
  <c r="B6" i="6"/>
  <c r="C6" i="6" s="1"/>
  <c r="I6" i="6"/>
  <c r="E5" i="6"/>
  <c r="D5" i="6" s="1"/>
  <c r="B5" i="6"/>
  <c r="I5" i="6"/>
  <c r="E36" i="3"/>
  <c r="B35" i="3"/>
  <c r="C35" i="3" s="1"/>
  <c r="G34" i="3"/>
  <c r="B34" i="3"/>
  <c r="C34" i="3" s="1"/>
  <c r="B33" i="3"/>
  <c r="C33" i="3" s="1"/>
  <c r="B32" i="3"/>
  <c r="C32" i="3" s="1"/>
  <c r="B31" i="3"/>
  <c r="C31" i="3" s="1"/>
  <c r="B30" i="3"/>
  <c r="C30" i="3" s="1"/>
  <c r="B29" i="3"/>
  <c r="C29" i="3" s="1"/>
  <c r="B28" i="3"/>
  <c r="C28" i="3" s="1"/>
  <c r="E27" i="3"/>
  <c r="D27" i="3" s="1"/>
  <c r="B27" i="3"/>
  <c r="C27" i="3" s="1"/>
  <c r="E26" i="3"/>
  <c r="D26" i="3" s="1"/>
  <c r="B26" i="3"/>
  <c r="C26" i="3" s="1"/>
  <c r="E25" i="3"/>
  <c r="D25" i="3" s="1"/>
  <c r="B25" i="3"/>
  <c r="C25" i="3" s="1"/>
  <c r="E24" i="3"/>
  <c r="D24" i="3" s="1"/>
  <c r="B24" i="3"/>
  <c r="C24" i="3" s="1"/>
  <c r="E23" i="3"/>
  <c r="D23" i="3" s="1"/>
  <c r="B23" i="3"/>
  <c r="C23" i="3" s="1"/>
  <c r="E22" i="3"/>
  <c r="D22" i="3" s="1"/>
  <c r="B22" i="3"/>
  <c r="C22" i="3" s="1"/>
  <c r="E21" i="3"/>
  <c r="D21" i="3" s="1"/>
  <c r="B21" i="3"/>
  <c r="C21" i="3" s="1"/>
  <c r="E20" i="3"/>
  <c r="D20" i="3" s="1"/>
  <c r="B20" i="3"/>
  <c r="C20" i="3" s="1"/>
  <c r="E19" i="3"/>
  <c r="D19" i="3" s="1"/>
  <c r="B19" i="3"/>
  <c r="C19" i="3" s="1"/>
  <c r="E18" i="3"/>
  <c r="D18" i="3" s="1"/>
  <c r="B18" i="3"/>
  <c r="C18" i="3" s="1"/>
  <c r="E17" i="3"/>
  <c r="D17" i="3" s="1"/>
  <c r="B17" i="3"/>
  <c r="C17" i="3" s="1"/>
  <c r="E16" i="3"/>
  <c r="D16" i="3" s="1"/>
  <c r="B16" i="3"/>
  <c r="C16" i="3" s="1"/>
  <c r="E15" i="3"/>
  <c r="D15" i="3" s="1"/>
  <c r="B15" i="3"/>
  <c r="C15" i="3" s="1"/>
  <c r="E14" i="3"/>
  <c r="D14" i="3" s="1"/>
  <c r="B14" i="3"/>
  <c r="C14" i="3" s="1"/>
  <c r="E13" i="3"/>
  <c r="D13" i="3" s="1"/>
  <c r="B13" i="3"/>
  <c r="C13" i="3" s="1"/>
  <c r="E12" i="3"/>
  <c r="D12" i="3" s="1"/>
  <c r="B12" i="3"/>
  <c r="C12" i="3" s="1"/>
  <c r="E11" i="3"/>
  <c r="D11" i="3" s="1"/>
  <c r="B11" i="3"/>
  <c r="C11" i="3" s="1"/>
  <c r="E10" i="3"/>
  <c r="D10" i="3" s="1"/>
  <c r="B10" i="3"/>
  <c r="C10" i="3" s="1"/>
  <c r="E9" i="3"/>
  <c r="D9" i="3" s="1"/>
  <c r="B9" i="3"/>
  <c r="C9" i="3" s="1"/>
  <c r="E8" i="3"/>
  <c r="D8" i="3" s="1"/>
  <c r="B8" i="3"/>
  <c r="C8" i="3" s="1"/>
  <c r="E7" i="3"/>
  <c r="D7" i="3" s="1"/>
  <c r="B7" i="3"/>
  <c r="C7" i="3" s="1"/>
  <c r="I7" i="3"/>
  <c r="E6" i="3"/>
  <c r="D6" i="3" s="1"/>
  <c r="B6" i="3"/>
  <c r="C6" i="3" s="1"/>
  <c r="I6" i="3"/>
  <c r="E5" i="3"/>
  <c r="D5" i="3" s="1"/>
  <c r="B5" i="3"/>
  <c r="I5" i="3"/>
  <c r="D36" i="15"/>
  <c r="C36" i="15"/>
  <c r="E35" i="15"/>
  <c r="C35" i="15"/>
  <c r="G35" i="15" s="1"/>
  <c r="E34" i="15"/>
  <c r="C34" i="15"/>
  <c r="G34" i="15" s="1"/>
  <c r="E33" i="15"/>
  <c r="C33" i="15"/>
  <c r="F33" i="15" s="1"/>
  <c r="E32" i="15"/>
  <c r="C32" i="15"/>
  <c r="G32" i="15" s="1"/>
  <c r="E31" i="15"/>
  <c r="C31" i="15"/>
  <c r="G31" i="15" s="1"/>
  <c r="E30" i="15"/>
  <c r="C30" i="15"/>
  <c r="F30" i="15" s="1"/>
  <c r="E29" i="15"/>
  <c r="C29" i="15"/>
  <c r="G29" i="15" s="1"/>
  <c r="E28" i="15"/>
  <c r="C28" i="15"/>
  <c r="G28" i="15" s="1"/>
  <c r="E27" i="15"/>
  <c r="C27" i="15"/>
  <c r="G27" i="15" s="1"/>
  <c r="E26" i="15"/>
  <c r="C26" i="15"/>
  <c r="G26" i="15" s="1"/>
  <c r="E25" i="15"/>
  <c r="C25" i="15"/>
  <c r="G25" i="15" s="1"/>
  <c r="E24" i="15"/>
  <c r="C24" i="15"/>
  <c r="G24" i="15" s="1"/>
  <c r="E23" i="15"/>
  <c r="C23" i="15"/>
  <c r="G23" i="15" s="1"/>
  <c r="E22" i="15"/>
  <c r="C22" i="15"/>
  <c r="F22" i="15" s="1"/>
  <c r="E21" i="15"/>
  <c r="C21" i="15"/>
  <c r="G21" i="15" s="1"/>
  <c r="E20" i="15"/>
  <c r="C20" i="15"/>
  <c r="G20" i="15" s="1"/>
  <c r="E19" i="15"/>
  <c r="C19" i="15"/>
  <c r="F19" i="15" s="1"/>
  <c r="E18" i="15"/>
  <c r="C18" i="15"/>
  <c r="G18" i="15" s="1"/>
  <c r="E17" i="15"/>
  <c r="C17" i="15"/>
  <c r="F17" i="15" s="1"/>
  <c r="E16" i="15"/>
  <c r="C16" i="15"/>
  <c r="G16" i="15" s="1"/>
  <c r="E15" i="15"/>
  <c r="C15" i="15"/>
  <c r="G15" i="15" s="1"/>
  <c r="E14" i="15"/>
  <c r="C14" i="15"/>
  <c r="F14" i="15" s="1"/>
  <c r="E13" i="15"/>
  <c r="C13" i="15"/>
  <c r="G13" i="15" s="1"/>
  <c r="E12" i="15"/>
  <c r="C12" i="15"/>
  <c r="G12" i="15" s="1"/>
  <c r="E11" i="15"/>
  <c r="C11" i="15"/>
  <c r="G11" i="15" s="1"/>
  <c r="E10" i="15"/>
  <c r="C10" i="15"/>
  <c r="G10" i="15" s="1"/>
  <c r="E9" i="15"/>
  <c r="C9" i="15"/>
  <c r="G9" i="15" s="1"/>
  <c r="E8" i="15"/>
  <c r="C8" i="15"/>
  <c r="G8" i="15" s="1"/>
  <c r="E7" i="15"/>
  <c r="C7" i="15"/>
  <c r="G7" i="15" s="1"/>
  <c r="E6" i="15"/>
  <c r="C6" i="15"/>
  <c r="F6" i="15" s="1"/>
  <c r="E5" i="15"/>
  <c r="G5" i="15"/>
  <c r="B5" i="14"/>
  <c r="C5" i="13" s="1"/>
  <c r="E5" i="14"/>
  <c r="D5" i="14" s="1"/>
  <c r="E5" i="13" s="1"/>
  <c r="B6" i="14"/>
  <c r="C6" i="14" s="1"/>
  <c r="E6" i="14"/>
  <c r="D6" i="14" s="1"/>
  <c r="B7" i="14"/>
  <c r="C7" i="14" s="1"/>
  <c r="E7" i="14"/>
  <c r="D7" i="14" s="1"/>
  <c r="E7" i="13" s="1"/>
  <c r="F7" i="13" s="1"/>
  <c r="B8" i="14"/>
  <c r="C8" i="13" s="1"/>
  <c r="D8" i="13" s="1"/>
  <c r="E8" i="14"/>
  <c r="D8" i="14" s="1"/>
  <c r="B9" i="14"/>
  <c r="C9" i="13" s="1"/>
  <c r="D9" i="13" s="1"/>
  <c r="E9" i="14"/>
  <c r="D9" i="14" s="1"/>
  <c r="E9" i="13" s="1"/>
  <c r="B10" i="14"/>
  <c r="C10" i="13" s="1"/>
  <c r="D10" i="13" s="1"/>
  <c r="E10" i="14"/>
  <c r="D10" i="14" s="1"/>
  <c r="E10" i="13" s="1"/>
  <c r="B11" i="14"/>
  <c r="C11" i="13" s="1"/>
  <c r="D11" i="13" s="1"/>
  <c r="E11" i="14"/>
  <c r="D11" i="14" s="1"/>
  <c r="E11" i="13" s="1"/>
  <c r="F11" i="13" s="1"/>
  <c r="B12" i="14"/>
  <c r="C12" i="13" s="1"/>
  <c r="D12" i="13" s="1"/>
  <c r="E12" i="14"/>
  <c r="D12" i="14" s="1"/>
  <c r="B13" i="14"/>
  <c r="C13" i="13" s="1"/>
  <c r="D13" i="13" s="1"/>
  <c r="E13" i="14"/>
  <c r="D13" i="14" s="1"/>
  <c r="E13" i="13" s="1"/>
  <c r="F13" i="13" s="1"/>
  <c r="B14" i="14"/>
  <c r="C14" i="13" s="1"/>
  <c r="D14" i="13" s="1"/>
  <c r="E14" i="14"/>
  <c r="D14" i="14" s="1"/>
  <c r="B15" i="14"/>
  <c r="C15" i="13" s="1"/>
  <c r="D15" i="13" s="1"/>
  <c r="E15" i="14"/>
  <c r="D15" i="14" s="1"/>
  <c r="E15" i="13" s="1"/>
  <c r="F15" i="13" s="1"/>
  <c r="B16" i="14"/>
  <c r="C16" i="13" s="1"/>
  <c r="D16" i="13" s="1"/>
  <c r="E16" i="14"/>
  <c r="D16" i="14" s="1"/>
  <c r="E16" i="13" s="1"/>
  <c r="F16" i="13" s="1"/>
  <c r="B17" i="14"/>
  <c r="C17" i="13" s="1"/>
  <c r="D17" i="13" s="1"/>
  <c r="E17" i="14"/>
  <c r="D17" i="14" s="1"/>
  <c r="E17" i="13" s="1"/>
  <c r="B18" i="14"/>
  <c r="C18" i="13" s="1"/>
  <c r="D18" i="13" s="1"/>
  <c r="D18" i="14"/>
  <c r="B19" i="14"/>
  <c r="C19" i="13" s="1"/>
  <c r="D19" i="13" s="1"/>
  <c r="E19" i="14"/>
  <c r="D19" i="14" s="1"/>
  <c r="E19" i="13" s="1"/>
  <c r="B20" i="14"/>
  <c r="C20" i="13" s="1"/>
  <c r="D20" i="13" s="1"/>
  <c r="E20" i="14"/>
  <c r="D20" i="14" s="1"/>
  <c r="B21" i="14"/>
  <c r="C21" i="13" s="1"/>
  <c r="D21" i="13" s="1"/>
  <c r="E21" i="14"/>
  <c r="D21" i="14" s="1"/>
  <c r="E21" i="13" s="1"/>
  <c r="B22" i="14"/>
  <c r="C22" i="13" s="1"/>
  <c r="D22" i="13" s="1"/>
  <c r="E22" i="14"/>
  <c r="D22" i="14" s="1"/>
  <c r="B23" i="14"/>
  <c r="C23" i="13" s="1"/>
  <c r="D23" i="13" s="1"/>
  <c r="E23" i="14"/>
  <c r="D23" i="14" s="1"/>
  <c r="B24" i="14"/>
  <c r="C24" i="14" s="1"/>
  <c r="E24" i="14"/>
  <c r="D24" i="14" s="1"/>
  <c r="B25" i="14"/>
  <c r="C25" i="13" s="1"/>
  <c r="D25" i="13" s="1"/>
  <c r="E25" i="14"/>
  <c r="D25" i="14" s="1"/>
  <c r="B26" i="14"/>
  <c r="C26" i="13" s="1"/>
  <c r="D26" i="13" s="1"/>
  <c r="E26" i="14"/>
  <c r="D26" i="14" s="1"/>
  <c r="B27" i="14"/>
  <c r="C27" i="13" s="1"/>
  <c r="D27" i="13" s="1"/>
  <c r="E27" i="14"/>
  <c r="D27" i="14" s="1"/>
  <c r="B28" i="14"/>
  <c r="C28" i="13" s="1"/>
  <c r="D28" i="13" s="1"/>
  <c r="E28" i="14"/>
  <c r="D28" i="14" s="1"/>
  <c r="E28" i="13" s="1"/>
  <c r="B29" i="14"/>
  <c r="C29" i="13" s="1"/>
  <c r="D29" i="13" s="1"/>
  <c r="E29" i="14"/>
  <c r="D29" i="14" s="1"/>
  <c r="B30" i="14"/>
  <c r="C30" i="13" s="1"/>
  <c r="D30" i="13" s="1"/>
  <c r="E30" i="14"/>
  <c r="D30" i="14" s="1"/>
  <c r="B31" i="14"/>
  <c r="C31" i="13" s="1"/>
  <c r="D31" i="13" s="1"/>
  <c r="E31" i="14"/>
  <c r="D31" i="14" s="1"/>
  <c r="B32" i="14"/>
  <c r="C32" i="13" s="1"/>
  <c r="D32" i="13" s="1"/>
  <c r="E32" i="14"/>
  <c r="D32" i="14" s="1"/>
  <c r="B33" i="14"/>
  <c r="C33" i="13" s="1"/>
  <c r="D33" i="13" s="1"/>
  <c r="E33" i="14"/>
  <c r="D33" i="14" s="1"/>
  <c r="E33" i="13" s="1"/>
  <c r="B34" i="14"/>
  <c r="C34" i="14" s="1"/>
  <c r="E34" i="14"/>
  <c r="D34" i="14" s="1"/>
  <c r="B35" i="14"/>
  <c r="C35" i="13" s="1"/>
  <c r="D35" i="13" s="1"/>
  <c r="E35" i="14"/>
  <c r="D35" i="14" s="1"/>
  <c r="E35" i="13" s="1"/>
  <c r="E35" i="7"/>
  <c r="D35" i="7" s="1"/>
  <c r="B35" i="7"/>
  <c r="C35" i="7" s="1"/>
  <c r="E34" i="7"/>
  <c r="D34" i="7" s="1"/>
  <c r="B34" i="7"/>
  <c r="C34" i="7" s="1"/>
  <c r="E33" i="7"/>
  <c r="D33" i="7" s="1"/>
  <c r="B33" i="7"/>
  <c r="C33" i="7" s="1"/>
  <c r="E32" i="7"/>
  <c r="D32" i="7" s="1"/>
  <c r="B32" i="7"/>
  <c r="C32" i="7" s="1"/>
  <c r="E31" i="7"/>
  <c r="D31" i="7" s="1"/>
  <c r="B31" i="7"/>
  <c r="C31" i="7" s="1"/>
  <c r="E30" i="7"/>
  <c r="D30" i="7" s="1"/>
  <c r="B30" i="7"/>
  <c r="C30" i="7" s="1"/>
  <c r="E29" i="7"/>
  <c r="D29" i="7" s="1"/>
  <c r="B29" i="7"/>
  <c r="C29" i="7" s="1"/>
  <c r="E28" i="7"/>
  <c r="D28" i="7" s="1"/>
  <c r="B28" i="7"/>
  <c r="C28" i="7" s="1"/>
  <c r="E27" i="7"/>
  <c r="D27" i="7" s="1"/>
  <c r="B27" i="7"/>
  <c r="C27" i="7" s="1"/>
  <c r="E26" i="7"/>
  <c r="D26" i="7" s="1"/>
  <c r="B26" i="7"/>
  <c r="C26" i="7" s="1"/>
  <c r="E25" i="7"/>
  <c r="D25" i="7" s="1"/>
  <c r="B25" i="7"/>
  <c r="C25" i="7" s="1"/>
  <c r="E24" i="7"/>
  <c r="D24" i="7" s="1"/>
  <c r="B24" i="7"/>
  <c r="C24" i="7" s="1"/>
  <c r="E23" i="7"/>
  <c r="D23" i="7" s="1"/>
  <c r="B23" i="7"/>
  <c r="C23" i="7" s="1"/>
  <c r="E22" i="7"/>
  <c r="D22" i="7" s="1"/>
  <c r="B22" i="7"/>
  <c r="C22" i="7" s="1"/>
  <c r="E21" i="7"/>
  <c r="D21" i="7" s="1"/>
  <c r="B21" i="7"/>
  <c r="C21" i="7" s="1"/>
  <c r="E20" i="7"/>
  <c r="D20" i="7" s="1"/>
  <c r="B20" i="7"/>
  <c r="C20" i="7" s="1"/>
  <c r="E19" i="7"/>
  <c r="D19" i="7" s="1"/>
  <c r="B19" i="7"/>
  <c r="C19" i="7" s="1"/>
  <c r="E18" i="7"/>
  <c r="D18" i="7" s="1"/>
  <c r="B18" i="7"/>
  <c r="C18" i="7" s="1"/>
  <c r="E17" i="7"/>
  <c r="D17" i="7" s="1"/>
  <c r="B17" i="7"/>
  <c r="C17" i="7" s="1"/>
  <c r="E16" i="7"/>
  <c r="D16" i="7" s="1"/>
  <c r="B16" i="7"/>
  <c r="C16" i="7" s="1"/>
  <c r="E15" i="7"/>
  <c r="D15" i="7" s="1"/>
  <c r="B15" i="7"/>
  <c r="C15" i="7" s="1"/>
  <c r="E14" i="7"/>
  <c r="D14" i="7" s="1"/>
  <c r="B14" i="7"/>
  <c r="C14" i="7" s="1"/>
  <c r="E13" i="7"/>
  <c r="D13" i="7" s="1"/>
  <c r="B13" i="7"/>
  <c r="C13" i="7" s="1"/>
  <c r="E12" i="7"/>
  <c r="D12" i="7" s="1"/>
  <c r="B12" i="7"/>
  <c r="C12" i="7" s="1"/>
  <c r="E11" i="7"/>
  <c r="D11" i="7" s="1"/>
  <c r="B11" i="7"/>
  <c r="C11" i="7" s="1"/>
  <c r="E10" i="7"/>
  <c r="D10" i="7" s="1"/>
  <c r="B10" i="7"/>
  <c r="C10" i="7" s="1"/>
  <c r="E9" i="7"/>
  <c r="D9" i="7" s="1"/>
  <c r="B9" i="7"/>
  <c r="C9" i="7" s="1"/>
  <c r="E8" i="7"/>
  <c r="D8" i="7" s="1"/>
  <c r="B8" i="7"/>
  <c r="C8" i="7" s="1"/>
  <c r="E7" i="7"/>
  <c r="D7" i="7" s="1"/>
  <c r="B7" i="7"/>
  <c r="C7" i="7" s="1"/>
  <c r="I7" i="7"/>
  <c r="E6" i="7"/>
  <c r="D6" i="7" s="1"/>
  <c r="B6" i="7"/>
  <c r="C6" i="7" s="1"/>
  <c r="I6" i="7"/>
  <c r="E5" i="7"/>
  <c r="D5" i="7" s="1"/>
  <c r="B5" i="7"/>
  <c r="I5" i="7"/>
  <c r="E35" i="8"/>
  <c r="D35" i="8" s="1"/>
  <c r="B35" i="8"/>
  <c r="C35" i="8" s="1"/>
  <c r="E34" i="8"/>
  <c r="D34" i="8" s="1"/>
  <c r="B34" i="8"/>
  <c r="C34" i="8" s="1"/>
  <c r="E33" i="8"/>
  <c r="D33" i="8" s="1"/>
  <c r="B33" i="8"/>
  <c r="C33" i="8" s="1"/>
  <c r="E32" i="8"/>
  <c r="D32" i="8" s="1"/>
  <c r="B32" i="8"/>
  <c r="C32" i="8" s="1"/>
  <c r="E31" i="8"/>
  <c r="D31" i="8" s="1"/>
  <c r="B31" i="8"/>
  <c r="C31" i="8" s="1"/>
  <c r="E30" i="8"/>
  <c r="D30" i="8" s="1"/>
  <c r="B30" i="8"/>
  <c r="C30" i="8" s="1"/>
  <c r="E29" i="8"/>
  <c r="D29" i="8" s="1"/>
  <c r="B29" i="8"/>
  <c r="C29" i="8" s="1"/>
  <c r="E28" i="8"/>
  <c r="D28" i="8" s="1"/>
  <c r="B28" i="8"/>
  <c r="C28" i="8" s="1"/>
  <c r="E27" i="8"/>
  <c r="D27" i="8" s="1"/>
  <c r="B27" i="8"/>
  <c r="C27" i="8" s="1"/>
  <c r="E26" i="8"/>
  <c r="D26" i="8" s="1"/>
  <c r="B26" i="8"/>
  <c r="C26" i="8" s="1"/>
  <c r="E25" i="8"/>
  <c r="D25" i="8" s="1"/>
  <c r="B25" i="8"/>
  <c r="C25" i="8" s="1"/>
  <c r="E24" i="8"/>
  <c r="D24" i="8" s="1"/>
  <c r="B24" i="8"/>
  <c r="C24" i="8" s="1"/>
  <c r="E23" i="8"/>
  <c r="D23" i="8" s="1"/>
  <c r="B23" i="8"/>
  <c r="C23" i="8" s="1"/>
  <c r="E22" i="8"/>
  <c r="D22" i="8" s="1"/>
  <c r="B22" i="8"/>
  <c r="C22" i="8" s="1"/>
  <c r="E21" i="8"/>
  <c r="D21" i="8" s="1"/>
  <c r="B21" i="8"/>
  <c r="C21" i="8" s="1"/>
  <c r="E20" i="8"/>
  <c r="D20" i="8" s="1"/>
  <c r="B20" i="8"/>
  <c r="C20" i="8" s="1"/>
  <c r="E19" i="8"/>
  <c r="D19" i="8" s="1"/>
  <c r="B19" i="8"/>
  <c r="C19" i="8" s="1"/>
  <c r="E18" i="8"/>
  <c r="D18" i="8" s="1"/>
  <c r="B18" i="8"/>
  <c r="C18" i="8" s="1"/>
  <c r="E17" i="8"/>
  <c r="D17" i="8" s="1"/>
  <c r="B17" i="8"/>
  <c r="C17" i="8" s="1"/>
  <c r="E16" i="8"/>
  <c r="D16" i="8" s="1"/>
  <c r="B16" i="8"/>
  <c r="C16" i="8" s="1"/>
  <c r="E15" i="8"/>
  <c r="D15" i="8" s="1"/>
  <c r="B15" i="8"/>
  <c r="C15" i="8" s="1"/>
  <c r="E14" i="8"/>
  <c r="D14" i="8" s="1"/>
  <c r="B14" i="8"/>
  <c r="C14" i="8" s="1"/>
  <c r="E13" i="8"/>
  <c r="D13" i="8" s="1"/>
  <c r="B13" i="8"/>
  <c r="C13" i="8" s="1"/>
  <c r="E12" i="8"/>
  <c r="D12" i="8" s="1"/>
  <c r="B12" i="8"/>
  <c r="C12" i="8" s="1"/>
  <c r="E11" i="8"/>
  <c r="D11" i="8" s="1"/>
  <c r="B11" i="8"/>
  <c r="C11" i="8" s="1"/>
  <c r="E10" i="8"/>
  <c r="D10" i="8" s="1"/>
  <c r="B10" i="8"/>
  <c r="C10" i="8" s="1"/>
  <c r="E9" i="8"/>
  <c r="D9" i="8" s="1"/>
  <c r="B9" i="8"/>
  <c r="C9" i="8" s="1"/>
  <c r="E8" i="8"/>
  <c r="D8" i="8" s="1"/>
  <c r="B8" i="8"/>
  <c r="C8" i="8" s="1"/>
  <c r="E7" i="8"/>
  <c r="D7" i="8" s="1"/>
  <c r="B7" i="8"/>
  <c r="C7" i="8" s="1"/>
  <c r="I7" i="8"/>
  <c r="E6" i="8"/>
  <c r="D6" i="8" s="1"/>
  <c r="B6" i="8"/>
  <c r="C6" i="8" s="1"/>
  <c r="I6" i="8"/>
  <c r="E5" i="8"/>
  <c r="D5" i="8" s="1"/>
  <c r="B5" i="8"/>
  <c r="I5" i="8"/>
  <c r="E35" i="9"/>
  <c r="D35" i="9" s="1"/>
  <c r="B35" i="9"/>
  <c r="C35" i="9" s="1"/>
  <c r="E34" i="9"/>
  <c r="D34" i="9" s="1"/>
  <c r="B34" i="9"/>
  <c r="C34" i="9" s="1"/>
  <c r="E33" i="9"/>
  <c r="D33" i="9" s="1"/>
  <c r="B33" i="9"/>
  <c r="C33" i="9" s="1"/>
  <c r="E32" i="9"/>
  <c r="D32" i="9" s="1"/>
  <c r="B32" i="9"/>
  <c r="C32" i="9" s="1"/>
  <c r="E31" i="9"/>
  <c r="D31" i="9" s="1"/>
  <c r="B31" i="9"/>
  <c r="C31" i="9" s="1"/>
  <c r="E30" i="9"/>
  <c r="D30" i="9" s="1"/>
  <c r="B30" i="9"/>
  <c r="C30" i="9" s="1"/>
  <c r="E29" i="9"/>
  <c r="D29" i="9" s="1"/>
  <c r="B29" i="9"/>
  <c r="C29" i="9" s="1"/>
  <c r="E28" i="9"/>
  <c r="D28" i="9" s="1"/>
  <c r="B28" i="9"/>
  <c r="C28" i="9" s="1"/>
  <c r="E27" i="9"/>
  <c r="D27" i="9" s="1"/>
  <c r="B27" i="9"/>
  <c r="C27" i="9" s="1"/>
  <c r="E26" i="9"/>
  <c r="D26" i="9" s="1"/>
  <c r="B26" i="9"/>
  <c r="C26" i="9" s="1"/>
  <c r="E25" i="9"/>
  <c r="D25" i="9" s="1"/>
  <c r="B25" i="9"/>
  <c r="C25" i="9" s="1"/>
  <c r="E24" i="9"/>
  <c r="D24" i="9" s="1"/>
  <c r="B24" i="9"/>
  <c r="C24" i="9" s="1"/>
  <c r="E23" i="9"/>
  <c r="D23" i="9" s="1"/>
  <c r="B23" i="9"/>
  <c r="C23" i="9" s="1"/>
  <c r="E22" i="9"/>
  <c r="D22" i="9" s="1"/>
  <c r="B22" i="9"/>
  <c r="C22" i="9" s="1"/>
  <c r="E21" i="9"/>
  <c r="D21" i="9" s="1"/>
  <c r="B21" i="9"/>
  <c r="C21" i="9" s="1"/>
  <c r="E20" i="9"/>
  <c r="D20" i="9" s="1"/>
  <c r="B20" i="9"/>
  <c r="C20" i="9" s="1"/>
  <c r="E19" i="9"/>
  <c r="D19" i="9" s="1"/>
  <c r="B19" i="9"/>
  <c r="C19" i="9" s="1"/>
  <c r="E18" i="9"/>
  <c r="D18" i="9" s="1"/>
  <c r="B18" i="9"/>
  <c r="C18" i="9" s="1"/>
  <c r="E17" i="9"/>
  <c r="D17" i="9" s="1"/>
  <c r="B17" i="9"/>
  <c r="C17" i="9" s="1"/>
  <c r="E16" i="9"/>
  <c r="D16" i="9" s="1"/>
  <c r="B16" i="9"/>
  <c r="C16" i="9" s="1"/>
  <c r="E15" i="9"/>
  <c r="D15" i="9" s="1"/>
  <c r="B15" i="9"/>
  <c r="C15" i="9" s="1"/>
  <c r="E14" i="9"/>
  <c r="D14" i="9" s="1"/>
  <c r="B14" i="9"/>
  <c r="C14" i="9" s="1"/>
  <c r="E13" i="9"/>
  <c r="D13" i="9" s="1"/>
  <c r="B13" i="9"/>
  <c r="C13" i="9" s="1"/>
  <c r="E12" i="9"/>
  <c r="D12" i="9" s="1"/>
  <c r="B12" i="9"/>
  <c r="C12" i="9" s="1"/>
  <c r="E11" i="9"/>
  <c r="D11" i="9" s="1"/>
  <c r="B11" i="9"/>
  <c r="C11" i="9" s="1"/>
  <c r="E10" i="9"/>
  <c r="D10" i="9" s="1"/>
  <c r="B10" i="9"/>
  <c r="C10" i="9" s="1"/>
  <c r="E9" i="9"/>
  <c r="D9" i="9" s="1"/>
  <c r="B9" i="9"/>
  <c r="C9" i="9" s="1"/>
  <c r="E8" i="9"/>
  <c r="D8" i="9" s="1"/>
  <c r="B8" i="9"/>
  <c r="C8" i="9" s="1"/>
  <c r="E7" i="9"/>
  <c r="D7" i="9" s="1"/>
  <c r="B7" i="9"/>
  <c r="C7" i="9" s="1"/>
  <c r="I7" i="9"/>
  <c r="E6" i="9"/>
  <c r="D6" i="9" s="1"/>
  <c r="B6" i="9"/>
  <c r="C6" i="9" s="1"/>
  <c r="I6" i="9"/>
  <c r="E5" i="9"/>
  <c r="D5" i="9" s="1"/>
  <c r="B5" i="9"/>
  <c r="I5" i="9"/>
  <c r="E35" i="10"/>
  <c r="D35" i="10" s="1"/>
  <c r="B35" i="10"/>
  <c r="C35" i="10" s="1"/>
  <c r="E34" i="10"/>
  <c r="D34" i="10" s="1"/>
  <c r="B34" i="10"/>
  <c r="C34" i="10" s="1"/>
  <c r="E33" i="10"/>
  <c r="D33" i="10" s="1"/>
  <c r="B33" i="10"/>
  <c r="C33" i="10" s="1"/>
  <c r="E32" i="10"/>
  <c r="D32" i="10" s="1"/>
  <c r="B32" i="10"/>
  <c r="C32" i="10" s="1"/>
  <c r="E31" i="10"/>
  <c r="D31" i="10" s="1"/>
  <c r="B31" i="10"/>
  <c r="C31" i="10" s="1"/>
  <c r="E30" i="10"/>
  <c r="D30" i="10" s="1"/>
  <c r="B30" i="10"/>
  <c r="C30" i="10" s="1"/>
  <c r="E29" i="10"/>
  <c r="D29" i="10" s="1"/>
  <c r="B29" i="10"/>
  <c r="C29" i="10" s="1"/>
  <c r="E28" i="10"/>
  <c r="D28" i="10" s="1"/>
  <c r="B28" i="10"/>
  <c r="C28" i="10" s="1"/>
  <c r="E27" i="10"/>
  <c r="D27" i="10" s="1"/>
  <c r="B27" i="10"/>
  <c r="C27" i="10" s="1"/>
  <c r="E26" i="10"/>
  <c r="D26" i="10" s="1"/>
  <c r="B26" i="10"/>
  <c r="C26" i="10" s="1"/>
  <c r="D25" i="10"/>
  <c r="B25" i="10"/>
  <c r="C25" i="10" s="1"/>
  <c r="E24" i="10"/>
  <c r="D24" i="10" s="1"/>
  <c r="B24" i="10"/>
  <c r="C24" i="10" s="1"/>
  <c r="E23" i="10"/>
  <c r="D23" i="10" s="1"/>
  <c r="B23" i="10"/>
  <c r="C23" i="10" s="1"/>
  <c r="E22" i="10"/>
  <c r="D22" i="10" s="1"/>
  <c r="B22" i="10"/>
  <c r="C22" i="10" s="1"/>
  <c r="E21" i="10"/>
  <c r="D21" i="10" s="1"/>
  <c r="B21" i="10"/>
  <c r="C21" i="10" s="1"/>
  <c r="E20" i="10"/>
  <c r="D20" i="10" s="1"/>
  <c r="B20" i="10"/>
  <c r="C20" i="10" s="1"/>
  <c r="E19" i="10"/>
  <c r="D19" i="10" s="1"/>
  <c r="B19" i="10"/>
  <c r="C19" i="10" s="1"/>
  <c r="E18" i="10"/>
  <c r="D18" i="10" s="1"/>
  <c r="B18" i="10"/>
  <c r="C18" i="10" s="1"/>
  <c r="E17" i="10"/>
  <c r="D17" i="10" s="1"/>
  <c r="B17" i="10"/>
  <c r="C17" i="10" s="1"/>
  <c r="E16" i="10"/>
  <c r="D16" i="10" s="1"/>
  <c r="B16" i="10"/>
  <c r="C16" i="10" s="1"/>
  <c r="E15" i="10"/>
  <c r="D15" i="10" s="1"/>
  <c r="B15" i="10"/>
  <c r="C15" i="10" s="1"/>
  <c r="E14" i="10"/>
  <c r="D14" i="10" s="1"/>
  <c r="B14" i="10"/>
  <c r="C14" i="10" s="1"/>
  <c r="E13" i="10"/>
  <c r="D13" i="10" s="1"/>
  <c r="B13" i="10"/>
  <c r="C13" i="10" s="1"/>
  <c r="E12" i="10"/>
  <c r="D12" i="10" s="1"/>
  <c r="B12" i="10"/>
  <c r="C12" i="10" s="1"/>
  <c r="E11" i="10"/>
  <c r="D11" i="10" s="1"/>
  <c r="B11" i="10"/>
  <c r="C11" i="10" s="1"/>
  <c r="E10" i="10"/>
  <c r="D10" i="10" s="1"/>
  <c r="B10" i="10"/>
  <c r="C10" i="10" s="1"/>
  <c r="E9" i="10"/>
  <c r="D9" i="10" s="1"/>
  <c r="B9" i="10"/>
  <c r="C9" i="10" s="1"/>
  <c r="E8" i="10"/>
  <c r="D8" i="10" s="1"/>
  <c r="B8" i="10"/>
  <c r="C8" i="10" s="1"/>
  <c r="E7" i="10"/>
  <c r="D7" i="10" s="1"/>
  <c r="B7" i="10"/>
  <c r="C7" i="10" s="1"/>
  <c r="I7" i="10"/>
  <c r="E6" i="10"/>
  <c r="D6" i="10" s="1"/>
  <c r="B6" i="10"/>
  <c r="C6" i="10" s="1"/>
  <c r="I6" i="10"/>
  <c r="E5" i="10"/>
  <c r="D5" i="10" s="1"/>
  <c r="B5" i="10"/>
  <c r="I5" i="10"/>
  <c r="E35" i="11"/>
  <c r="D35" i="11" s="1"/>
  <c r="B35" i="11"/>
  <c r="C35" i="11" s="1"/>
  <c r="E34" i="11"/>
  <c r="D34" i="11" s="1"/>
  <c r="B34" i="11"/>
  <c r="C34" i="11" s="1"/>
  <c r="E33" i="11"/>
  <c r="D33" i="11" s="1"/>
  <c r="B33" i="11"/>
  <c r="C33" i="11" s="1"/>
  <c r="E32" i="11"/>
  <c r="D32" i="11" s="1"/>
  <c r="B32" i="11"/>
  <c r="C32" i="11" s="1"/>
  <c r="E31" i="11"/>
  <c r="D31" i="11" s="1"/>
  <c r="B31" i="11"/>
  <c r="C31" i="11" s="1"/>
  <c r="E30" i="11"/>
  <c r="D30" i="11" s="1"/>
  <c r="B30" i="11"/>
  <c r="C30" i="11" s="1"/>
  <c r="E29" i="11"/>
  <c r="D29" i="11" s="1"/>
  <c r="B29" i="11"/>
  <c r="C29" i="11" s="1"/>
  <c r="E28" i="11"/>
  <c r="D28" i="11" s="1"/>
  <c r="B28" i="11"/>
  <c r="C28" i="11" s="1"/>
  <c r="E27" i="11"/>
  <c r="D27" i="11" s="1"/>
  <c r="B27" i="11"/>
  <c r="C27" i="11" s="1"/>
  <c r="E26" i="11"/>
  <c r="D26" i="11" s="1"/>
  <c r="B26" i="11"/>
  <c r="C26" i="11" s="1"/>
  <c r="E25" i="11"/>
  <c r="D25" i="11" s="1"/>
  <c r="B25" i="11"/>
  <c r="C25" i="11" s="1"/>
  <c r="E24" i="11"/>
  <c r="D24" i="11" s="1"/>
  <c r="B24" i="11"/>
  <c r="C24" i="11" s="1"/>
  <c r="E23" i="11"/>
  <c r="D23" i="11" s="1"/>
  <c r="B23" i="11"/>
  <c r="C23" i="11" s="1"/>
  <c r="E22" i="11"/>
  <c r="D22" i="11" s="1"/>
  <c r="B22" i="11"/>
  <c r="C22" i="11" s="1"/>
  <c r="E21" i="11"/>
  <c r="D21" i="11" s="1"/>
  <c r="B21" i="11"/>
  <c r="C21" i="11" s="1"/>
  <c r="E20" i="11"/>
  <c r="D20" i="11" s="1"/>
  <c r="B20" i="11"/>
  <c r="C20" i="11" s="1"/>
  <c r="E19" i="11"/>
  <c r="D19" i="11" s="1"/>
  <c r="B19" i="11"/>
  <c r="C19" i="11" s="1"/>
  <c r="E18" i="11"/>
  <c r="D18" i="11" s="1"/>
  <c r="B18" i="11"/>
  <c r="C18" i="11" s="1"/>
  <c r="E17" i="11"/>
  <c r="D17" i="11" s="1"/>
  <c r="B17" i="11"/>
  <c r="C17" i="11" s="1"/>
  <c r="E16" i="11"/>
  <c r="D16" i="11" s="1"/>
  <c r="B16" i="11"/>
  <c r="C16" i="11" s="1"/>
  <c r="E15" i="11"/>
  <c r="D15" i="11" s="1"/>
  <c r="B15" i="11"/>
  <c r="C15" i="11" s="1"/>
  <c r="E14" i="11"/>
  <c r="D14" i="11" s="1"/>
  <c r="B14" i="11"/>
  <c r="C14" i="11" s="1"/>
  <c r="E13" i="11"/>
  <c r="D13" i="11" s="1"/>
  <c r="B13" i="11"/>
  <c r="C13" i="11" s="1"/>
  <c r="E12" i="11"/>
  <c r="D12" i="11" s="1"/>
  <c r="B12" i="11"/>
  <c r="C12" i="11" s="1"/>
  <c r="E11" i="11"/>
  <c r="D11" i="11" s="1"/>
  <c r="B11" i="11"/>
  <c r="C11" i="11" s="1"/>
  <c r="E10" i="11"/>
  <c r="D10" i="11" s="1"/>
  <c r="B10" i="11"/>
  <c r="C10" i="11" s="1"/>
  <c r="E9" i="11"/>
  <c r="D9" i="11" s="1"/>
  <c r="B9" i="11"/>
  <c r="C9" i="11" s="1"/>
  <c r="E8" i="11"/>
  <c r="D8" i="11" s="1"/>
  <c r="B8" i="11"/>
  <c r="C8" i="11" s="1"/>
  <c r="E7" i="11"/>
  <c r="D7" i="11" s="1"/>
  <c r="B7" i="11"/>
  <c r="C7" i="11" s="1"/>
  <c r="I7" i="11"/>
  <c r="E6" i="11"/>
  <c r="D6" i="11" s="1"/>
  <c r="B6" i="11"/>
  <c r="C6" i="11" s="1"/>
  <c r="I6" i="11"/>
  <c r="E5" i="11"/>
  <c r="D5" i="11" s="1"/>
  <c r="B5" i="11"/>
  <c r="I5" i="11"/>
  <c r="E35" i="12"/>
  <c r="D35" i="12" s="1"/>
  <c r="B35" i="12"/>
  <c r="C35" i="12" s="1"/>
  <c r="E34" i="12"/>
  <c r="D34" i="12" s="1"/>
  <c r="B34" i="12"/>
  <c r="C34" i="12" s="1"/>
  <c r="E33" i="12"/>
  <c r="D33" i="12" s="1"/>
  <c r="B33" i="12"/>
  <c r="C33" i="12" s="1"/>
  <c r="E32" i="12"/>
  <c r="D32" i="12" s="1"/>
  <c r="B32" i="12"/>
  <c r="C32" i="12" s="1"/>
  <c r="E31" i="12"/>
  <c r="D31" i="12" s="1"/>
  <c r="B31" i="12"/>
  <c r="C31" i="12" s="1"/>
  <c r="E30" i="12"/>
  <c r="D30" i="12" s="1"/>
  <c r="B30" i="12"/>
  <c r="C30" i="12" s="1"/>
  <c r="E29" i="12"/>
  <c r="D29" i="12" s="1"/>
  <c r="B29" i="12"/>
  <c r="C29" i="12" s="1"/>
  <c r="E28" i="12"/>
  <c r="D28" i="12" s="1"/>
  <c r="B28" i="12"/>
  <c r="C28" i="12" s="1"/>
  <c r="E27" i="12"/>
  <c r="D27" i="12" s="1"/>
  <c r="B27" i="12"/>
  <c r="C27" i="12" s="1"/>
  <c r="E26" i="12"/>
  <c r="D26" i="12" s="1"/>
  <c r="B26" i="12"/>
  <c r="C26" i="12" s="1"/>
  <c r="E25" i="12"/>
  <c r="D25" i="12" s="1"/>
  <c r="B25" i="12"/>
  <c r="C25" i="12" s="1"/>
  <c r="E24" i="12"/>
  <c r="D24" i="12" s="1"/>
  <c r="B24" i="12"/>
  <c r="C24" i="12" s="1"/>
  <c r="E23" i="12"/>
  <c r="D23" i="12" s="1"/>
  <c r="B23" i="12"/>
  <c r="C23" i="12" s="1"/>
  <c r="E22" i="12"/>
  <c r="D22" i="12" s="1"/>
  <c r="B22" i="12"/>
  <c r="C22" i="12" s="1"/>
  <c r="E21" i="12"/>
  <c r="D21" i="12" s="1"/>
  <c r="B21" i="12"/>
  <c r="C21" i="12" s="1"/>
  <c r="E20" i="12"/>
  <c r="D20" i="12" s="1"/>
  <c r="B20" i="12"/>
  <c r="C20" i="12" s="1"/>
  <c r="E19" i="12"/>
  <c r="D19" i="12" s="1"/>
  <c r="B19" i="12"/>
  <c r="C19" i="12" s="1"/>
  <c r="E18" i="12"/>
  <c r="D18" i="12" s="1"/>
  <c r="B18" i="12"/>
  <c r="C18" i="12" s="1"/>
  <c r="E17" i="12"/>
  <c r="D17" i="12" s="1"/>
  <c r="B17" i="12"/>
  <c r="C17" i="12" s="1"/>
  <c r="E16" i="12"/>
  <c r="D16" i="12" s="1"/>
  <c r="B16" i="12"/>
  <c r="C16" i="12" s="1"/>
  <c r="E15" i="12"/>
  <c r="D15" i="12" s="1"/>
  <c r="B15" i="12"/>
  <c r="C15" i="12" s="1"/>
  <c r="E14" i="12"/>
  <c r="D14" i="12" s="1"/>
  <c r="B14" i="12"/>
  <c r="C14" i="12" s="1"/>
  <c r="E13" i="12"/>
  <c r="D13" i="12" s="1"/>
  <c r="B13" i="12"/>
  <c r="C13" i="12" s="1"/>
  <c r="E12" i="12"/>
  <c r="D12" i="12" s="1"/>
  <c r="B12" i="12"/>
  <c r="C12" i="12" s="1"/>
  <c r="E11" i="12"/>
  <c r="D11" i="12" s="1"/>
  <c r="B11" i="12"/>
  <c r="C11" i="12" s="1"/>
  <c r="E10" i="12"/>
  <c r="D10" i="12" s="1"/>
  <c r="B10" i="12"/>
  <c r="C10" i="12" s="1"/>
  <c r="E9" i="12"/>
  <c r="D9" i="12" s="1"/>
  <c r="B9" i="12"/>
  <c r="C9" i="12" s="1"/>
  <c r="E8" i="12"/>
  <c r="D8" i="12" s="1"/>
  <c r="B8" i="12"/>
  <c r="C8" i="12" s="1"/>
  <c r="E7" i="12"/>
  <c r="D7" i="12" s="1"/>
  <c r="B7" i="12"/>
  <c r="C7" i="12" s="1"/>
  <c r="I7" i="12"/>
  <c r="E6" i="12"/>
  <c r="D6" i="12" s="1"/>
  <c r="B6" i="12"/>
  <c r="C6" i="12" s="1"/>
  <c r="I6" i="12"/>
  <c r="E5" i="12"/>
  <c r="D5" i="12" s="1"/>
  <c r="B5" i="12"/>
  <c r="C5" i="12" s="1"/>
  <c r="I5" i="12"/>
  <c r="H36" i="1"/>
  <c r="C36" i="1"/>
  <c r="C35" i="1"/>
  <c r="C34" i="1"/>
  <c r="C33" i="1"/>
  <c r="C32" i="1"/>
  <c r="E31" i="1"/>
  <c r="C31" i="1"/>
  <c r="E30" i="1"/>
  <c r="C30" i="1"/>
  <c r="C29" i="1"/>
  <c r="C28" i="1"/>
  <c r="C27" i="1"/>
  <c r="C26" i="1"/>
  <c r="C25" i="1"/>
  <c r="C24" i="1"/>
  <c r="E23" i="1"/>
  <c r="C23" i="1"/>
  <c r="C22" i="1"/>
  <c r="C21" i="1"/>
  <c r="C20" i="1"/>
  <c r="C19" i="1"/>
  <c r="C18" i="1"/>
  <c r="C17" i="1"/>
  <c r="C16" i="1"/>
  <c r="E15" i="1"/>
  <c r="C15" i="1"/>
  <c r="C14" i="1"/>
  <c r="C13" i="1"/>
  <c r="C12" i="1"/>
  <c r="C11" i="1"/>
  <c r="C10" i="1"/>
  <c r="C9" i="1"/>
  <c r="E8" i="1"/>
  <c r="E7" i="1"/>
  <c r="C7" i="1"/>
  <c r="E6" i="1"/>
  <c r="C6" i="1"/>
  <c r="C5" i="1"/>
  <c r="R3" i="1"/>
  <c r="P3" i="1"/>
  <c r="N3" i="1"/>
  <c r="L3" i="1"/>
  <c r="J3" i="1"/>
  <c r="D20" i="5" l="1"/>
  <c r="E20" i="5"/>
  <c r="D10" i="5"/>
  <c r="D7" i="5"/>
  <c r="E9" i="5"/>
  <c r="E11" i="5"/>
  <c r="D6" i="5"/>
  <c r="E6" i="5"/>
  <c r="D11" i="5"/>
  <c r="E5" i="5"/>
  <c r="E7" i="5"/>
  <c r="D8" i="5"/>
  <c r="E8" i="5"/>
  <c r="D9" i="5"/>
  <c r="E10" i="5"/>
  <c r="A9" i="21"/>
  <c r="I9" i="21" s="1"/>
  <c r="A10" i="16"/>
  <c r="A9" i="20"/>
  <c r="I9" i="20" s="1"/>
  <c r="A9" i="22"/>
  <c r="I9" i="22" s="1"/>
  <c r="B9" i="13"/>
  <c r="A9" i="9"/>
  <c r="I9" i="9" s="1"/>
  <c r="B9" i="4"/>
  <c r="A9" i="12"/>
  <c r="I9" i="12" s="1"/>
  <c r="A9" i="6"/>
  <c r="I9" i="6" s="1"/>
  <c r="A9" i="8"/>
  <c r="I9" i="8" s="1"/>
  <c r="A9" i="15"/>
  <c r="A9" i="11"/>
  <c r="I9" i="11" s="1"/>
  <c r="A9" i="7"/>
  <c r="I9" i="7" s="1"/>
  <c r="A9" i="14"/>
  <c r="I9" i="14" s="1"/>
  <c r="B9" i="5"/>
  <c r="A9" i="3"/>
  <c r="I9" i="3" s="1"/>
  <c r="A9" i="10"/>
  <c r="I9" i="10" s="1"/>
  <c r="A9" i="1"/>
  <c r="A9" i="19"/>
  <c r="I9" i="19" s="1"/>
  <c r="D19" i="5"/>
  <c r="E19" i="5"/>
  <c r="E18" i="5"/>
  <c r="D18" i="5"/>
  <c r="D17" i="5"/>
  <c r="E17" i="5"/>
  <c r="D16" i="5"/>
  <c r="E16" i="5"/>
  <c r="D15" i="5"/>
  <c r="E15" i="5"/>
  <c r="D14" i="5"/>
  <c r="E14" i="5"/>
  <c r="D13" i="5"/>
  <c r="E13" i="5"/>
  <c r="D12" i="5"/>
  <c r="E12" i="5"/>
  <c r="G36" i="15"/>
  <c r="F16" i="8"/>
  <c r="G13" i="3"/>
  <c r="G19" i="3"/>
  <c r="G25" i="3"/>
  <c r="G31" i="3"/>
  <c r="F35" i="1"/>
  <c r="G35" i="1"/>
  <c r="F20" i="8"/>
  <c r="F34" i="1"/>
  <c r="F11" i="15"/>
  <c r="G20" i="3"/>
  <c r="G10" i="3"/>
  <c r="G26" i="3"/>
  <c r="F16" i="3"/>
  <c r="G11" i="3"/>
  <c r="F22" i="3"/>
  <c r="C33" i="14"/>
  <c r="F33" i="14" s="1"/>
  <c r="F8" i="15"/>
  <c r="G29" i="3"/>
  <c r="G7" i="3"/>
  <c r="F11" i="1"/>
  <c r="G18" i="8"/>
  <c r="G6" i="8"/>
  <c r="G11" i="19"/>
  <c r="G19" i="15"/>
  <c r="G17" i="15"/>
  <c r="G33" i="19"/>
  <c r="F32" i="3"/>
  <c r="G31" i="19"/>
  <c r="G30" i="8"/>
  <c r="F27" i="1"/>
  <c r="G28" i="1"/>
  <c r="C28" i="14"/>
  <c r="F28" i="14" s="1"/>
  <c r="G28" i="3"/>
  <c r="F28" i="8"/>
  <c r="G27" i="19"/>
  <c r="F27" i="15"/>
  <c r="G25" i="19"/>
  <c r="G24" i="1"/>
  <c r="F24" i="8"/>
  <c r="F24" i="15"/>
  <c r="G23" i="3"/>
  <c r="G27" i="1"/>
  <c r="G21" i="1"/>
  <c r="G22" i="15"/>
  <c r="G21" i="19"/>
  <c r="G18" i="1"/>
  <c r="G17" i="3"/>
  <c r="G13" i="1"/>
  <c r="G14" i="1"/>
  <c r="F16" i="1"/>
  <c r="E14" i="1"/>
  <c r="G15" i="19"/>
  <c r="G14" i="3"/>
  <c r="F12" i="8"/>
  <c r="G6" i="1"/>
  <c r="G10" i="1"/>
  <c r="G8" i="3"/>
  <c r="F8" i="8"/>
  <c r="G8" i="8"/>
  <c r="G6" i="15"/>
  <c r="G5" i="1"/>
  <c r="G8" i="1"/>
  <c r="G16" i="1"/>
  <c r="F19" i="1"/>
  <c r="G22" i="1"/>
  <c r="G25" i="1"/>
  <c r="F6" i="1"/>
  <c r="G26" i="1"/>
  <c r="G17" i="1"/>
  <c r="G20" i="1"/>
  <c r="G9" i="1"/>
  <c r="G12" i="1"/>
  <c r="G29" i="1"/>
  <c r="G32" i="1"/>
  <c r="G19" i="1"/>
  <c r="G11" i="1"/>
  <c r="F15" i="1"/>
  <c r="E22" i="1"/>
  <c r="F24" i="1"/>
  <c r="F23" i="1"/>
  <c r="F7" i="1"/>
  <c r="F22" i="1"/>
  <c r="F26" i="1"/>
  <c r="F8" i="1"/>
  <c r="F14" i="1"/>
  <c r="F18" i="1"/>
  <c r="E24" i="1"/>
  <c r="F10" i="1"/>
  <c r="E16" i="1"/>
  <c r="G20" i="8"/>
  <c r="G10" i="8"/>
  <c r="G22" i="8"/>
  <c r="G12" i="8"/>
  <c r="G24" i="8"/>
  <c r="G14" i="8"/>
  <c r="G26" i="8"/>
  <c r="G16" i="8"/>
  <c r="G28" i="8"/>
  <c r="G19" i="19"/>
  <c r="F6" i="3"/>
  <c r="G9" i="3"/>
  <c r="F12" i="3"/>
  <c r="G15" i="3"/>
  <c r="G18" i="3"/>
  <c r="G21" i="3"/>
  <c r="G24" i="3"/>
  <c r="G27" i="3"/>
  <c r="G30" i="3"/>
  <c r="F16" i="15"/>
  <c r="G14" i="15"/>
  <c r="G30" i="15"/>
  <c r="G33" i="15"/>
  <c r="E22" i="13"/>
  <c r="G22" i="13" s="1"/>
  <c r="G22" i="14"/>
  <c r="C26" i="14"/>
  <c r="F26" i="14" s="1"/>
  <c r="C10" i="14"/>
  <c r="F10" i="14" s="1"/>
  <c r="C32" i="14"/>
  <c r="F32" i="14" s="1"/>
  <c r="C27" i="14"/>
  <c r="F27" i="14" s="1"/>
  <c r="C19" i="14"/>
  <c r="F19" i="14" s="1"/>
  <c r="C13" i="14"/>
  <c r="F13" i="14" s="1"/>
  <c r="C29" i="14"/>
  <c r="F29" i="14" s="1"/>
  <c r="C23" i="14"/>
  <c r="F23" i="14" s="1"/>
  <c r="C22" i="14"/>
  <c r="F22" i="14" s="1"/>
  <c r="C17" i="14"/>
  <c r="F17" i="14" s="1"/>
  <c r="C16" i="14"/>
  <c r="F16" i="14" s="1"/>
  <c r="C11" i="14"/>
  <c r="F11" i="14" s="1"/>
  <c r="F6" i="14"/>
  <c r="C35" i="14"/>
  <c r="C18" i="14"/>
  <c r="F18" i="14" s="1"/>
  <c r="C12" i="14"/>
  <c r="F12" i="14" s="1"/>
  <c r="G16" i="14"/>
  <c r="G10" i="14"/>
  <c r="G30" i="14"/>
  <c r="E30" i="13"/>
  <c r="H30" i="13" s="1"/>
  <c r="G12" i="14"/>
  <c r="E12" i="13"/>
  <c r="H12" i="13" s="1"/>
  <c r="E31" i="13"/>
  <c r="F31" i="13" s="1"/>
  <c r="E25" i="13"/>
  <c r="H25" i="13" s="1"/>
  <c r="E32" i="13"/>
  <c r="F32" i="13" s="1"/>
  <c r="G32" i="14"/>
  <c r="G26" i="14"/>
  <c r="E26" i="13"/>
  <c r="G26" i="13" s="1"/>
  <c r="G20" i="14"/>
  <c r="E20" i="13"/>
  <c r="G20" i="13" s="1"/>
  <c r="G14" i="14"/>
  <c r="E14" i="13"/>
  <c r="G14" i="13" s="1"/>
  <c r="G8" i="14"/>
  <c r="E8" i="13"/>
  <c r="H8" i="13" s="1"/>
  <c r="G6" i="14"/>
  <c r="E6" i="13"/>
  <c r="F6" i="13" s="1"/>
  <c r="E24" i="13"/>
  <c r="G24" i="14"/>
  <c r="G18" i="14"/>
  <c r="E18" i="13"/>
  <c r="F18" i="13" s="1"/>
  <c r="E27" i="13"/>
  <c r="F27" i="13" s="1"/>
  <c r="F24" i="14"/>
  <c r="C31" i="14"/>
  <c r="F31" i="14" s="1"/>
  <c r="C30" i="14"/>
  <c r="F30" i="14" s="1"/>
  <c r="C21" i="14"/>
  <c r="F21" i="14" s="1"/>
  <c r="C20" i="14"/>
  <c r="F20" i="14" s="1"/>
  <c r="C15" i="14"/>
  <c r="F15" i="14" s="1"/>
  <c r="C14" i="14"/>
  <c r="F14" i="14" s="1"/>
  <c r="C9" i="14"/>
  <c r="F9" i="14" s="1"/>
  <c r="C8" i="14"/>
  <c r="F8" i="14" s="1"/>
  <c r="E23" i="13"/>
  <c r="F23" i="13" s="1"/>
  <c r="E29" i="13"/>
  <c r="F29" i="13" s="1"/>
  <c r="C6" i="13"/>
  <c r="D6" i="13" s="1"/>
  <c r="C24" i="13"/>
  <c r="D24" i="13" s="1"/>
  <c r="C5" i="14"/>
  <c r="F5" i="14" s="1"/>
  <c r="G28" i="14"/>
  <c r="F34" i="14"/>
  <c r="C25" i="14"/>
  <c r="F25" i="14" s="1"/>
  <c r="C7" i="13"/>
  <c r="D7" i="13" s="1"/>
  <c r="G7" i="13" s="1"/>
  <c r="F35" i="15"/>
  <c r="G35" i="3"/>
  <c r="G34" i="1"/>
  <c r="C34" i="13"/>
  <c r="D34" i="13" s="1"/>
  <c r="E34" i="13"/>
  <c r="F34" i="13" s="1"/>
  <c r="B36" i="14"/>
  <c r="C36" i="14" s="1"/>
  <c r="G34" i="8"/>
  <c r="G33" i="3"/>
  <c r="B36" i="3"/>
  <c r="C36" i="3" s="1"/>
  <c r="G33" i="1"/>
  <c r="B36" i="10"/>
  <c r="C36" i="10" s="1"/>
  <c r="G22" i="3"/>
  <c r="G6" i="3"/>
  <c r="G12" i="3"/>
  <c r="G16" i="3"/>
  <c r="F30" i="1"/>
  <c r="G30" i="1"/>
  <c r="G32" i="3"/>
  <c r="D36" i="3"/>
  <c r="F32" i="1"/>
  <c r="E32" i="1"/>
  <c r="F31" i="1"/>
  <c r="B36" i="11"/>
  <c r="C36" i="11" s="1"/>
  <c r="B36" i="7"/>
  <c r="C36" i="7" s="1"/>
  <c r="B36" i="6"/>
  <c r="C36" i="6" s="1"/>
  <c r="H11" i="13"/>
  <c r="G16" i="13"/>
  <c r="B36" i="9"/>
  <c r="C36" i="9" s="1"/>
  <c r="F32" i="8"/>
  <c r="B36" i="8"/>
  <c r="C36" i="8" s="1"/>
  <c r="G32" i="8"/>
  <c r="B36" i="19"/>
  <c r="C36" i="19" s="1"/>
  <c r="E36" i="6"/>
  <c r="F32" i="15"/>
  <c r="G11" i="13"/>
  <c r="H28" i="13"/>
  <c r="F28" i="13"/>
  <c r="G9" i="13"/>
  <c r="H33" i="13"/>
  <c r="H13" i="13"/>
  <c r="H10" i="13"/>
  <c r="F8" i="19"/>
  <c r="G8" i="19"/>
  <c r="G13" i="19"/>
  <c r="F22" i="19"/>
  <c r="G22" i="19"/>
  <c r="G9" i="19"/>
  <c r="F18" i="19"/>
  <c r="G18" i="19"/>
  <c r="G23" i="19"/>
  <c r="F32" i="19"/>
  <c r="G32" i="19"/>
  <c r="D36" i="19"/>
  <c r="F14" i="19"/>
  <c r="G14" i="19"/>
  <c r="F28" i="19"/>
  <c r="G28" i="19"/>
  <c r="F10" i="19"/>
  <c r="G10" i="19"/>
  <c r="F24" i="19"/>
  <c r="G24" i="19"/>
  <c r="F6" i="19"/>
  <c r="G6" i="19"/>
  <c r="G29" i="19"/>
  <c r="F20" i="19"/>
  <c r="G20" i="19"/>
  <c r="F34" i="19"/>
  <c r="G34" i="19"/>
  <c r="G7" i="19"/>
  <c r="F16" i="19"/>
  <c r="G16" i="19"/>
  <c r="F30" i="19"/>
  <c r="G30" i="19"/>
  <c r="F12" i="19"/>
  <c r="G12" i="19"/>
  <c r="G35" i="19"/>
  <c r="G17" i="19"/>
  <c r="F26" i="19"/>
  <c r="G26" i="19"/>
  <c r="C5" i="19"/>
  <c r="F5" i="19" s="1"/>
  <c r="F7" i="19"/>
  <c r="F9" i="19"/>
  <c r="F11" i="19"/>
  <c r="F13" i="19"/>
  <c r="F15" i="19"/>
  <c r="F17" i="19"/>
  <c r="F19" i="19"/>
  <c r="F21" i="19"/>
  <c r="F23" i="19"/>
  <c r="F25" i="19"/>
  <c r="F27" i="19"/>
  <c r="F29" i="19"/>
  <c r="F31" i="19"/>
  <c r="F33" i="19"/>
  <c r="F35" i="19"/>
  <c r="F8" i="6"/>
  <c r="G8" i="6"/>
  <c r="F12" i="6"/>
  <c r="G12" i="6"/>
  <c r="F16" i="6"/>
  <c r="G16" i="6"/>
  <c r="F20" i="6"/>
  <c r="G20" i="6"/>
  <c r="F24" i="6"/>
  <c r="G24" i="6"/>
  <c r="F28" i="6"/>
  <c r="G28" i="6"/>
  <c r="F32" i="6"/>
  <c r="G32" i="6"/>
  <c r="D36" i="6"/>
  <c r="G9" i="6"/>
  <c r="G13" i="6"/>
  <c r="G17" i="6"/>
  <c r="G21" i="6"/>
  <c r="G25" i="6"/>
  <c r="G29" i="6"/>
  <c r="G33" i="6"/>
  <c r="F6" i="6"/>
  <c r="G6" i="6"/>
  <c r="F10" i="6"/>
  <c r="G10" i="6"/>
  <c r="F14" i="6"/>
  <c r="G14" i="6"/>
  <c r="F18" i="6"/>
  <c r="G18" i="6"/>
  <c r="F22" i="6"/>
  <c r="G22" i="6"/>
  <c r="F26" i="6"/>
  <c r="G26" i="6"/>
  <c r="F30" i="6"/>
  <c r="G30" i="6"/>
  <c r="F34" i="6"/>
  <c r="G34" i="6"/>
  <c r="G7" i="6"/>
  <c r="G11" i="6"/>
  <c r="G15" i="6"/>
  <c r="G19" i="6"/>
  <c r="G23" i="6"/>
  <c r="G27" i="6"/>
  <c r="G31" i="6"/>
  <c r="G35" i="6"/>
  <c r="C5" i="6"/>
  <c r="F7" i="6"/>
  <c r="F9" i="6"/>
  <c r="F11" i="6"/>
  <c r="F13" i="6"/>
  <c r="F15" i="6"/>
  <c r="F17" i="6"/>
  <c r="F19" i="6"/>
  <c r="F21" i="6"/>
  <c r="F23" i="6"/>
  <c r="F25" i="6"/>
  <c r="F27" i="6"/>
  <c r="F29" i="6"/>
  <c r="F31" i="6"/>
  <c r="F33" i="6"/>
  <c r="F35" i="6"/>
  <c r="F18" i="3"/>
  <c r="F8" i="3"/>
  <c r="F26" i="3"/>
  <c r="F30" i="3"/>
  <c r="F34" i="3"/>
  <c r="F20" i="3"/>
  <c r="F24" i="3"/>
  <c r="F10" i="3"/>
  <c r="F28" i="3"/>
  <c r="F14" i="3"/>
  <c r="C5" i="3"/>
  <c r="F5" i="3" s="1"/>
  <c r="F7" i="3"/>
  <c r="F9" i="3"/>
  <c r="F11" i="3"/>
  <c r="F13" i="3"/>
  <c r="F15" i="3"/>
  <c r="F17" i="3"/>
  <c r="F19" i="3"/>
  <c r="F21" i="3"/>
  <c r="F23" i="3"/>
  <c r="F25" i="3"/>
  <c r="F27" i="3"/>
  <c r="F29" i="3"/>
  <c r="F31" i="3"/>
  <c r="F33" i="3"/>
  <c r="F35" i="3"/>
  <c r="G5" i="3"/>
  <c r="F5" i="15"/>
  <c r="F21" i="15"/>
  <c r="F18" i="15"/>
  <c r="F34" i="15"/>
  <c r="F15" i="15"/>
  <c r="F31" i="15"/>
  <c r="F12" i="15"/>
  <c r="F28" i="15"/>
  <c r="F9" i="15"/>
  <c r="F25" i="15"/>
  <c r="F13" i="15"/>
  <c r="F29" i="15"/>
  <c r="F10" i="15"/>
  <c r="F26" i="15"/>
  <c r="F7" i="15"/>
  <c r="F23" i="15"/>
  <c r="E36" i="15"/>
  <c r="F20" i="15"/>
  <c r="H15" i="13"/>
  <c r="G15" i="13"/>
  <c r="H19" i="13"/>
  <c r="H9" i="13"/>
  <c r="H21" i="13"/>
  <c r="H17" i="13"/>
  <c r="H35" i="13"/>
  <c r="F9" i="13"/>
  <c r="H16" i="13"/>
  <c r="F5" i="13"/>
  <c r="F21" i="13"/>
  <c r="G21" i="13"/>
  <c r="F19" i="13"/>
  <c r="G28" i="13"/>
  <c r="F35" i="13"/>
  <c r="F10" i="13"/>
  <c r="G19" i="13"/>
  <c r="G35" i="13"/>
  <c r="D5" i="13"/>
  <c r="G10" i="13"/>
  <c r="F17" i="13"/>
  <c r="F33" i="13"/>
  <c r="G17" i="13"/>
  <c r="G33" i="13"/>
  <c r="G13" i="13"/>
  <c r="F7" i="14"/>
  <c r="G7" i="14"/>
  <c r="F35" i="14"/>
  <c r="G35" i="14"/>
  <c r="G17" i="14"/>
  <c r="G9" i="14"/>
  <c r="G19" i="14"/>
  <c r="G11" i="14"/>
  <c r="G15" i="14"/>
  <c r="G21" i="14"/>
  <c r="G13" i="14"/>
  <c r="G5" i="14"/>
  <c r="D36" i="14"/>
  <c r="G33" i="14"/>
  <c r="G34" i="14"/>
  <c r="G31" i="14"/>
  <c r="G29" i="14"/>
  <c r="G27" i="14"/>
  <c r="G25" i="14"/>
  <c r="G23" i="14"/>
  <c r="G35" i="7"/>
  <c r="F35" i="7"/>
  <c r="F26" i="7"/>
  <c r="G26" i="7"/>
  <c r="F8" i="7"/>
  <c r="G8" i="7"/>
  <c r="G31" i="7"/>
  <c r="F31" i="7"/>
  <c r="G13" i="7"/>
  <c r="F13" i="7"/>
  <c r="F22" i="7"/>
  <c r="G22" i="7"/>
  <c r="G27" i="7"/>
  <c r="F27" i="7"/>
  <c r="G23" i="7"/>
  <c r="F23" i="7"/>
  <c r="F32" i="7"/>
  <c r="G32" i="7"/>
  <c r="D36" i="7"/>
  <c r="F14" i="7"/>
  <c r="G14" i="7"/>
  <c r="F18" i="7"/>
  <c r="G18" i="7"/>
  <c r="G19" i="7"/>
  <c r="F19" i="7"/>
  <c r="F28" i="7"/>
  <c r="G28" i="7"/>
  <c r="F10" i="7"/>
  <c r="G10" i="7"/>
  <c r="G15" i="7"/>
  <c r="F15" i="7"/>
  <c r="F24" i="7"/>
  <c r="G24" i="7"/>
  <c r="G9" i="7"/>
  <c r="F9" i="7"/>
  <c r="G33" i="7"/>
  <c r="F33" i="7"/>
  <c r="F6" i="7"/>
  <c r="G6" i="7"/>
  <c r="G29" i="7"/>
  <c r="F29" i="7"/>
  <c r="G11" i="7"/>
  <c r="F11" i="7"/>
  <c r="F20" i="7"/>
  <c r="G20" i="7"/>
  <c r="G25" i="7"/>
  <c r="F25" i="7"/>
  <c r="F34" i="7"/>
  <c r="G34" i="7"/>
  <c r="G7" i="7"/>
  <c r="F7" i="7"/>
  <c r="F16" i="7"/>
  <c r="G16" i="7"/>
  <c r="G21" i="7"/>
  <c r="F21" i="7"/>
  <c r="F30" i="7"/>
  <c r="G30" i="7"/>
  <c r="F12" i="7"/>
  <c r="G12" i="7"/>
  <c r="G17" i="7"/>
  <c r="F17" i="7"/>
  <c r="C5" i="7"/>
  <c r="G5" i="7" s="1"/>
  <c r="G27" i="8"/>
  <c r="F27" i="8"/>
  <c r="D36" i="8"/>
  <c r="G9" i="8"/>
  <c r="F9" i="8"/>
  <c r="G13" i="8"/>
  <c r="F13" i="8"/>
  <c r="G17" i="8"/>
  <c r="F17" i="8"/>
  <c r="G21" i="8"/>
  <c r="F21" i="8"/>
  <c r="G25" i="8"/>
  <c r="F25" i="8"/>
  <c r="G29" i="8"/>
  <c r="F29" i="8"/>
  <c r="G33" i="8"/>
  <c r="F33" i="8"/>
  <c r="F6" i="8"/>
  <c r="F10" i="8"/>
  <c r="F14" i="8"/>
  <c r="F18" i="8"/>
  <c r="F22" i="8"/>
  <c r="F26" i="8"/>
  <c r="F30" i="8"/>
  <c r="F34" i="8"/>
  <c r="G7" i="8"/>
  <c r="F7" i="8"/>
  <c r="G11" i="8"/>
  <c r="F11" i="8"/>
  <c r="G15" i="8"/>
  <c r="F15" i="8"/>
  <c r="G19" i="8"/>
  <c r="F19" i="8"/>
  <c r="G23" i="8"/>
  <c r="F23" i="8"/>
  <c r="G31" i="8"/>
  <c r="F31" i="8"/>
  <c r="G35" i="8"/>
  <c r="F35" i="8"/>
  <c r="C5" i="8"/>
  <c r="G5" i="8" s="1"/>
  <c r="G11" i="9"/>
  <c r="G35" i="9"/>
  <c r="F35" i="9"/>
  <c r="F8" i="9"/>
  <c r="G8" i="9"/>
  <c r="F12" i="9"/>
  <c r="G12" i="9"/>
  <c r="F16" i="9"/>
  <c r="G16" i="9"/>
  <c r="F20" i="9"/>
  <c r="G20" i="9"/>
  <c r="F24" i="9"/>
  <c r="G24" i="9"/>
  <c r="F28" i="9"/>
  <c r="G28" i="9"/>
  <c r="F32" i="9"/>
  <c r="G32" i="9"/>
  <c r="D36" i="9"/>
  <c r="G9" i="9"/>
  <c r="G13" i="9"/>
  <c r="G17" i="9"/>
  <c r="G21" i="9"/>
  <c r="G25" i="9"/>
  <c r="G29" i="9"/>
  <c r="G33" i="9"/>
  <c r="F14" i="9"/>
  <c r="G14" i="9"/>
  <c r="F22" i="9"/>
  <c r="G22" i="9"/>
  <c r="F34" i="9"/>
  <c r="G34" i="9"/>
  <c r="F6" i="9"/>
  <c r="G6" i="9"/>
  <c r="F30" i="9"/>
  <c r="G30" i="9"/>
  <c r="F10" i="9"/>
  <c r="G10" i="9"/>
  <c r="F18" i="9"/>
  <c r="G18" i="9"/>
  <c r="F26" i="9"/>
  <c r="G26" i="9"/>
  <c r="G7" i="9"/>
  <c r="G15" i="9"/>
  <c r="G19" i="9"/>
  <c r="G23" i="9"/>
  <c r="G27" i="9"/>
  <c r="G31" i="9"/>
  <c r="C5" i="9"/>
  <c r="F5" i="9" s="1"/>
  <c r="F7" i="9"/>
  <c r="F9" i="9"/>
  <c r="F11" i="9"/>
  <c r="F13" i="9"/>
  <c r="F15" i="9"/>
  <c r="F17" i="9"/>
  <c r="F19" i="9"/>
  <c r="F21" i="9"/>
  <c r="F23" i="9"/>
  <c r="F25" i="9"/>
  <c r="F27" i="9"/>
  <c r="F29" i="9"/>
  <c r="F31" i="9"/>
  <c r="F33" i="9"/>
  <c r="G7" i="10"/>
  <c r="F7" i="10"/>
  <c r="G19" i="10"/>
  <c r="F19" i="10"/>
  <c r="G35" i="10"/>
  <c r="F35" i="10"/>
  <c r="F14" i="10"/>
  <c r="G14" i="10"/>
  <c r="F30" i="10"/>
  <c r="G30" i="10"/>
  <c r="G9" i="10"/>
  <c r="F9" i="10"/>
  <c r="G25" i="10"/>
  <c r="F25" i="10"/>
  <c r="G17" i="10"/>
  <c r="F17" i="10"/>
  <c r="F18" i="10"/>
  <c r="G18" i="10"/>
  <c r="G29" i="10"/>
  <c r="F29" i="10"/>
  <c r="F20" i="10"/>
  <c r="G20" i="10"/>
  <c r="G15" i="10"/>
  <c r="F15" i="10"/>
  <c r="G31" i="10"/>
  <c r="F31" i="10"/>
  <c r="F10" i="10"/>
  <c r="G10" i="10"/>
  <c r="F26" i="10"/>
  <c r="G26" i="10"/>
  <c r="D36" i="10"/>
  <c r="G21" i="10"/>
  <c r="F21" i="10"/>
  <c r="F16" i="10"/>
  <c r="G16" i="10"/>
  <c r="F32" i="10"/>
  <c r="G32" i="10"/>
  <c r="F8" i="10"/>
  <c r="G8" i="10"/>
  <c r="G11" i="10"/>
  <c r="F11" i="10"/>
  <c r="G27" i="10"/>
  <c r="F27" i="10"/>
  <c r="F6" i="10"/>
  <c r="G6" i="10"/>
  <c r="F22" i="10"/>
  <c r="G22" i="10"/>
  <c r="G33" i="10"/>
  <c r="F33" i="10"/>
  <c r="F12" i="10"/>
  <c r="G12" i="10"/>
  <c r="F28" i="10"/>
  <c r="G28" i="10"/>
  <c r="F34" i="10"/>
  <c r="G34" i="10"/>
  <c r="G23" i="10"/>
  <c r="F23" i="10"/>
  <c r="G13" i="10"/>
  <c r="F13" i="10"/>
  <c r="F24" i="10"/>
  <c r="G24" i="10"/>
  <c r="C5" i="10"/>
  <c r="G5" i="10" s="1"/>
  <c r="F20" i="11"/>
  <c r="G20" i="11"/>
  <c r="F16" i="11"/>
  <c r="G16" i="11"/>
  <c r="D36" i="11"/>
  <c r="G9" i="11"/>
  <c r="G13" i="11"/>
  <c r="G17" i="11"/>
  <c r="G21" i="11"/>
  <c r="G25" i="11"/>
  <c r="G29" i="11"/>
  <c r="G33" i="11"/>
  <c r="F8" i="11"/>
  <c r="G8" i="11"/>
  <c r="F28" i="11"/>
  <c r="G28" i="11"/>
  <c r="F6" i="11"/>
  <c r="G6" i="11"/>
  <c r="F18" i="11"/>
  <c r="G18" i="11"/>
  <c r="F22" i="11"/>
  <c r="G22" i="11"/>
  <c r="F26" i="11"/>
  <c r="G26" i="11"/>
  <c r="F30" i="11"/>
  <c r="G30" i="11"/>
  <c r="F34" i="11"/>
  <c r="G34" i="11"/>
  <c r="F32" i="11"/>
  <c r="G32" i="11"/>
  <c r="F10" i="11"/>
  <c r="G10" i="11"/>
  <c r="F24" i="11"/>
  <c r="G24" i="11"/>
  <c r="F12" i="11"/>
  <c r="G12" i="11"/>
  <c r="F14" i="11"/>
  <c r="G14" i="11"/>
  <c r="G7" i="11"/>
  <c r="G11" i="11"/>
  <c r="G15" i="11"/>
  <c r="G19" i="11"/>
  <c r="G23" i="11"/>
  <c r="G27" i="11"/>
  <c r="G31" i="11"/>
  <c r="G35" i="11"/>
  <c r="C5" i="11"/>
  <c r="F5" i="11" s="1"/>
  <c r="F7" i="11"/>
  <c r="F9" i="11"/>
  <c r="F11" i="11"/>
  <c r="F13" i="11"/>
  <c r="F15" i="11"/>
  <c r="F17" i="11"/>
  <c r="F19" i="11"/>
  <c r="F21" i="11"/>
  <c r="F23" i="11"/>
  <c r="F25" i="11"/>
  <c r="F27" i="11"/>
  <c r="F29" i="11"/>
  <c r="F31" i="11"/>
  <c r="F33" i="11"/>
  <c r="F35" i="11"/>
  <c r="F8" i="12"/>
  <c r="G8" i="12"/>
  <c r="F24" i="12"/>
  <c r="G24" i="12"/>
  <c r="G35" i="12"/>
  <c r="F35" i="12"/>
  <c r="F14" i="12"/>
  <c r="G14" i="12"/>
  <c r="F30" i="12"/>
  <c r="G30" i="12"/>
  <c r="G9" i="12"/>
  <c r="F9" i="12"/>
  <c r="G25" i="12"/>
  <c r="F25" i="12"/>
  <c r="G19" i="12"/>
  <c r="F19" i="12"/>
  <c r="F20" i="12"/>
  <c r="G20" i="12"/>
  <c r="G15" i="12"/>
  <c r="F15" i="12"/>
  <c r="G31" i="12"/>
  <c r="F31" i="12"/>
  <c r="F10" i="12"/>
  <c r="G10" i="12"/>
  <c r="F26" i="12"/>
  <c r="G26" i="12"/>
  <c r="G29" i="12"/>
  <c r="F29" i="12"/>
  <c r="G21" i="12"/>
  <c r="F21" i="12"/>
  <c r="F16" i="12"/>
  <c r="G16" i="12"/>
  <c r="F32" i="12"/>
  <c r="G32" i="12"/>
  <c r="F6" i="12"/>
  <c r="G6" i="12"/>
  <c r="F22" i="12"/>
  <c r="G22" i="12"/>
  <c r="D36" i="12"/>
  <c r="G5" i="12"/>
  <c r="F5" i="12"/>
  <c r="G11" i="12"/>
  <c r="F11" i="12"/>
  <c r="G27" i="12"/>
  <c r="F27" i="12"/>
  <c r="G17" i="12"/>
  <c r="F17" i="12"/>
  <c r="G33" i="12"/>
  <c r="F33" i="12"/>
  <c r="G13" i="12"/>
  <c r="F13" i="12"/>
  <c r="F12" i="12"/>
  <c r="G12" i="12"/>
  <c r="F28" i="12"/>
  <c r="G28" i="12"/>
  <c r="G7" i="12"/>
  <c r="F7" i="12"/>
  <c r="G23" i="12"/>
  <c r="F23" i="12"/>
  <c r="F18" i="12"/>
  <c r="G18" i="12"/>
  <c r="F34" i="12"/>
  <c r="G34" i="12"/>
  <c r="B36" i="12"/>
  <c r="C36" i="12" s="1"/>
  <c r="G7" i="1"/>
  <c r="E10" i="1"/>
  <c r="G15" i="1"/>
  <c r="E18" i="1"/>
  <c r="G23" i="1"/>
  <c r="E26" i="1"/>
  <c r="G31" i="1"/>
  <c r="E34" i="1"/>
  <c r="E5" i="1"/>
  <c r="E13" i="1"/>
  <c r="E21" i="1"/>
  <c r="E29" i="1"/>
  <c r="F5" i="1"/>
  <c r="F13" i="1"/>
  <c r="F21" i="1"/>
  <c r="F29" i="1"/>
  <c r="E33" i="1"/>
  <c r="F17" i="1"/>
  <c r="D36" i="1"/>
  <c r="E11" i="1"/>
  <c r="E19" i="1"/>
  <c r="E27" i="1"/>
  <c r="E35" i="1"/>
  <c r="E17" i="1"/>
  <c r="F9" i="1"/>
  <c r="E9" i="1"/>
  <c r="E25" i="1"/>
  <c r="F25" i="1"/>
  <c r="F33" i="1"/>
  <c r="E12" i="1"/>
  <c r="E20" i="1"/>
  <c r="E28" i="1"/>
  <c r="F12" i="1"/>
  <c r="F20" i="1"/>
  <c r="F28" i="1"/>
  <c r="G5" i="6" l="1"/>
  <c r="D5" i="5"/>
  <c r="A10" i="21"/>
  <c r="I10" i="21" s="1"/>
  <c r="A11" i="16"/>
  <c r="A10" i="22"/>
  <c r="I10" i="22" s="1"/>
  <c r="A10" i="20"/>
  <c r="I10" i="20" s="1"/>
  <c r="A10" i="9"/>
  <c r="I10" i="9" s="1"/>
  <c r="B10" i="4"/>
  <c r="B10" i="13"/>
  <c r="A10" i="6"/>
  <c r="I10" i="6" s="1"/>
  <c r="A10" i="12"/>
  <c r="I10" i="12" s="1"/>
  <c r="A10" i="15"/>
  <c r="A10" i="8"/>
  <c r="I10" i="8" s="1"/>
  <c r="A10" i="11"/>
  <c r="I10" i="11" s="1"/>
  <c r="B10" i="5"/>
  <c r="A10" i="7"/>
  <c r="I10" i="7" s="1"/>
  <c r="A10" i="14"/>
  <c r="I10" i="14" s="1"/>
  <c r="A10" i="10"/>
  <c r="I10" i="10" s="1"/>
  <c r="A10" i="3"/>
  <c r="I10" i="3" s="1"/>
  <c r="A10" i="1"/>
  <c r="A10" i="19"/>
  <c r="I10" i="19" s="1"/>
  <c r="G5" i="19"/>
  <c r="G31" i="13"/>
  <c r="F30" i="13"/>
  <c r="G30" i="13"/>
  <c r="G25" i="13"/>
  <c r="F12" i="13"/>
  <c r="G5" i="11"/>
  <c r="F5" i="10"/>
  <c r="F5" i="7"/>
  <c r="F5" i="6"/>
  <c r="G24" i="13"/>
  <c r="F22" i="13"/>
  <c r="G6" i="13"/>
  <c r="H23" i="13"/>
  <c r="H27" i="13"/>
  <c r="G27" i="13"/>
  <c r="F8" i="13"/>
  <c r="F26" i="13"/>
  <c r="G23" i="13"/>
  <c r="H18" i="13"/>
  <c r="H26" i="13"/>
  <c r="H31" i="13"/>
  <c r="F20" i="13"/>
  <c r="H22" i="13"/>
  <c r="F25" i="13"/>
  <c r="H20" i="13"/>
  <c r="G29" i="13"/>
  <c r="H32" i="13"/>
  <c r="H29" i="13"/>
  <c r="G8" i="13"/>
  <c r="H24" i="13"/>
  <c r="F24" i="13"/>
  <c r="G12" i="13"/>
  <c r="H7" i="13"/>
  <c r="F14" i="13"/>
  <c r="H6" i="13"/>
  <c r="G18" i="13"/>
  <c r="H14" i="13"/>
  <c r="G32" i="13"/>
  <c r="D36" i="13"/>
  <c r="E36" i="13"/>
  <c r="H34" i="13"/>
  <c r="G34" i="13"/>
  <c r="G36" i="3"/>
  <c r="C36" i="13"/>
  <c r="F36" i="3"/>
  <c r="F36" i="1"/>
  <c r="G5" i="13"/>
  <c r="G36" i="19"/>
  <c r="F36" i="19"/>
  <c r="E36" i="19"/>
  <c r="G36" i="6"/>
  <c r="F36" i="6"/>
  <c r="F36" i="15"/>
  <c r="H5" i="13"/>
  <c r="E36" i="14"/>
  <c r="F36" i="14"/>
  <c r="G36" i="14"/>
  <c r="G36" i="7"/>
  <c r="F36" i="7"/>
  <c r="E36" i="7"/>
  <c r="F5" i="8"/>
  <c r="G36" i="8"/>
  <c r="F36" i="8"/>
  <c r="E36" i="8"/>
  <c r="G5" i="9"/>
  <c r="G36" i="9"/>
  <c r="F36" i="9"/>
  <c r="E36" i="9"/>
  <c r="G36" i="10"/>
  <c r="F36" i="10"/>
  <c r="E36" i="10"/>
  <c r="G36" i="11"/>
  <c r="F36" i="11"/>
  <c r="E36" i="11"/>
  <c r="G36" i="12"/>
  <c r="F36" i="12"/>
  <c r="E36" i="12"/>
  <c r="G36" i="1"/>
  <c r="E36" i="1"/>
  <c r="A11" i="22" l="1"/>
  <c r="I11" i="22" s="1"/>
  <c r="A11" i="21"/>
  <c r="I11" i="21" s="1"/>
  <c r="A11" i="20"/>
  <c r="I11" i="20" s="1"/>
  <c r="A12" i="16"/>
  <c r="B11" i="4"/>
  <c r="A11" i="12"/>
  <c r="I11" i="12" s="1"/>
  <c r="A11" i="6"/>
  <c r="I11" i="6" s="1"/>
  <c r="A11" i="8"/>
  <c r="I11" i="8" s="1"/>
  <c r="A11" i="15"/>
  <c r="A11" i="11"/>
  <c r="I11" i="11" s="1"/>
  <c r="B11" i="5"/>
  <c r="A11" i="7"/>
  <c r="I11" i="7" s="1"/>
  <c r="A11" i="14"/>
  <c r="I11" i="14" s="1"/>
  <c r="A11" i="10"/>
  <c r="I11" i="10" s="1"/>
  <c r="A11" i="3"/>
  <c r="I11" i="3" s="1"/>
  <c r="A11" i="19"/>
  <c r="I11" i="19" s="1"/>
  <c r="A11" i="1"/>
  <c r="A11" i="9"/>
  <c r="I11" i="9" s="1"/>
  <c r="B11" i="13"/>
  <c r="F36" i="13"/>
  <c r="H36" i="13"/>
  <c r="G36" i="13"/>
  <c r="C6" i="5"/>
  <c r="C8" i="5"/>
  <c r="C10" i="5"/>
  <c r="C11" i="5"/>
  <c r="A12" i="22" l="1"/>
  <c r="I12" i="22" s="1"/>
  <c r="A13" i="16"/>
  <c r="A12" i="20"/>
  <c r="I12" i="20" s="1"/>
  <c r="A12" i="21"/>
  <c r="I12" i="21" s="1"/>
  <c r="A12" i="12"/>
  <c r="I12" i="12" s="1"/>
  <c r="A12" i="14"/>
  <c r="I12" i="14" s="1"/>
  <c r="B12" i="13"/>
  <c r="A12" i="7"/>
  <c r="I12" i="7" s="1"/>
  <c r="A12" i="8"/>
  <c r="I12" i="8" s="1"/>
  <c r="A12" i="15"/>
  <c r="A12" i="11"/>
  <c r="I12" i="11" s="1"/>
  <c r="B12" i="5"/>
  <c r="A12" i="10"/>
  <c r="I12" i="10" s="1"/>
  <c r="A12" i="3"/>
  <c r="I12" i="3" s="1"/>
  <c r="A12" i="1"/>
  <c r="A12" i="19"/>
  <c r="I12" i="19" s="1"/>
  <c r="A12" i="9"/>
  <c r="I12" i="9" s="1"/>
  <c r="B12" i="4"/>
  <c r="A12" i="6"/>
  <c r="I12" i="6" s="1"/>
  <c r="C28" i="5"/>
  <c r="C20" i="5"/>
  <c r="C12" i="5"/>
  <c r="F12" i="5"/>
  <c r="F11" i="5"/>
  <c r="F10" i="5"/>
  <c r="C5" i="5"/>
  <c r="F27" i="5"/>
  <c r="F9" i="5"/>
  <c r="F20" i="5"/>
  <c r="F19" i="5"/>
  <c r="F33" i="5"/>
  <c r="C25" i="5"/>
  <c r="C17" i="5"/>
  <c r="C9" i="5"/>
  <c r="C27" i="5"/>
  <c r="C33" i="5"/>
  <c r="F32" i="5"/>
  <c r="F24" i="5"/>
  <c r="F16" i="5"/>
  <c r="F8" i="5"/>
  <c r="F28" i="5"/>
  <c r="C18" i="5"/>
  <c r="F23" i="5"/>
  <c r="F15" i="5"/>
  <c r="F7" i="5"/>
  <c r="C19" i="5"/>
  <c r="F18" i="5"/>
  <c r="F25" i="5"/>
  <c r="C32" i="5"/>
  <c r="C24" i="5"/>
  <c r="F31" i="5"/>
  <c r="C31" i="5"/>
  <c r="C23" i="5"/>
  <c r="C15" i="5"/>
  <c r="C7" i="5"/>
  <c r="F5" i="5"/>
  <c r="C34" i="5"/>
  <c r="C16" i="5"/>
  <c r="F30" i="5"/>
  <c r="F22" i="5"/>
  <c r="F14" i="5"/>
  <c r="F6" i="5"/>
  <c r="C35" i="5"/>
  <c r="C26" i="5"/>
  <c r="F35" i="5"/>
  <c r="F26" i="5"/>
  <c r="F17" i="5"/>
  <c r="C14" i="5"/>
  <c r="F29" i="5"/>
  <c r="F21" i="5"/>
  <c r="F13" i="5"/>
  <c r="F34" i="5"/>
  <c r="C30" i="5"/>
  <c r="C22" i="5"/>
  <c r="C29" i="5"/>
  <c r="C21" i="5"/>
  <c r="C13" i="5"/>
  <c r="C11" i="4"/>
  <c r="D11" i="4" s="1"/>
  <c r="A14" i="16" l="1"/>
  <c r="A13" i="22"/>
  <c r="I13" i="22" s="1"/>
  <c r="A13" i="21"/>
  <c r="I13" i="21" s="1"/>
  <c r="A13" i="20"/>
  <c r="I13" i="20" s="1"/>
  <c r="A13" i="12"/>
  <c r="I13" i="12" s="1"/>
  <c r="A13" i="6"/>
  <c r="I13" i="6" s="1"/>
  <c r="A13" i="8"/>
  <c r="I13" i="8" s="1"/>
  <c r="B13" i="13"/>
  <c r="A13" i="15"/>
  <c r="A13" i="11"/>
  <c r="I13" i="11" s="1"/>
  <c r="B13" i="5"/>
  <c r="A13" i="7"/>
  <c r="I13" i="7" s="1"/>
  <c r="A13" i="10"/>
  <c r="I13" i="10" s="1"/>
  <c r="A13" i="3"/>
  <c r="I13" i="3" s="1"/>
  <c r="A13" i="1"/>
  <c r="A13" i="19"/>
  <c r="I13" i="19" s="1"/>
  <c r="B13" i="4"/>
  <c r="A13" i="14"/>
  <c r="I13" i="14" s="1"/>
  <c r="A13" i="9"/>
  <c r="I13" i="9" s="1"/>
  <c r="H24" i="5"/>
  <c r="G28" i="5"/>
  <c r="G7" i="5"/>
  <c r="H23" i="5"/>
  <c r="G31" i="5"/>
  <c r="G12" i="5"/>
  <c r="G15" i="5"/>
  <c r="H8" i="5"/>
  <c r="H7" i="5"/>
  <c r="H27" i="5"/>
  <c r="G27" i="5"/>
  <c r="H17" i="5"/>
  <c r="G17" i="5"/>
  <c r="H30" i="5"/>
  <c r="G30" i="5"/>
  <c r="C36" i="5"/>
  <c r="D36" i="5"/>
  <c r="H10" i="5"/>
  <c r="G10" i="5"/>
  <c r="H35" i="5"/>
  <c r="G35" i="5"/>
  <c r="F36" i="5"/>
  <c r="E36" i="5"/>
  <c r="H5" i="5"/>
  <c r="G5" i="5"/>
  <c r="H25" i="5"/>
  <c r="G25" i="5"/>
  <c r="G8" i="5"/>
  <c r="H11" i="5"/>
  <c r="G11" i="5"/>
  <c r="H13" i="5"/>
  <c r="G13" i="5"/>
  <c r="H33" i="5"/>
  <c r="G33" i="5"/>
  <c r="H26" i="5"/>
  <c r="G26" i="5"/>
  <c r="H18" i="5"/>
  <c r="G18" i="5"/>
  <c r="H16" i="5"/>
  <c r="G16" i="5"/>
  <c r="H34" i="5"/>
  <c r="G34" i="5"/>
  <c r="G24" i="5"/>
  <c r="H19" i="5"/>
  <c r="G19" i="5"/>
  <c r="H12" i="5"/>
  <c r="H21" i="5"/>
  <c r="G21" i="5"/>
  <c r="H6" i="5"/>
  <c r="G6" i="5"/>
  <c r="H15" i="5"/>
  <c r="H29" i="5"/>
  <c r="G29" i="5"/>
  <c r="H32" i="5"/>
  <c r="G32" i="5"/>
  <c r="G20" i="5"/>
  <c r="H20" i="5"/>
  <c r="H14" i="5"/>
  <c r="G14" i="5"/>
  <c r="G23" i="5"/>
  <c r="H22" i="5"/>
  <c r="G22" i="5"/>
  <c r="H31" i="5"/>
  <c r="H9" i="5"/>
  <c r="G9" i="5"/>
  <c r="H28" i="5"/>
  <c r="A15" i="16" l="1"/>
  <c r="A14" i="20"/>
  <c r="I14" i="20" s="1"/>
  <c r="A14" i="22"/>
  <c r="I14" i="22" s="1"/>
  <c r="A14" i="21"/>
  <c r="I14" i="21" s="1"/>
  <c r="A14" i="6"/>
  <c r="I14" i="6" s="1"/>
  <c r="A14" i="14"/>
  <c r="I14" i="14" s="1"/>
  <c r="A14" i="8"/>
  <c r="I14" i="8" s="1"/>
  <c r="A14" i="15"/>
  <c r="A14" i="11"/>
  <c r="I14" i="11" s="1"/>
  <c r="B14" i="5"/>
  <c r="A14" i="7"/>
  <c r="I14" i="7" s="1"/>
  <c r="A14" i="10"/>
  <c r="I14" i="10" s="1"/>
  <c r="A14" i="3"/>
  <c r="I14" i="3" s="1"/>
  <c r="A14" i="1"/>
  <c r="A14" i="19"/>
  <c r="I14" i="19" s="1"/>
  <c r="A14" i="9"/>
  <c r="I14" i="9" s="1"/>
  <c r="B14" i="4"/>
  <c r="A14" i="12"/>
  <c r="I14" i="12" s="1"/>
  <c r="B14" i="13"/>
  <c r="H36" i="5"/>
  <c r="G36" i="5"/>
  <c r="A16" i="16" l="1"/>
  <c r="A15" i="21"/>
  <c r="I15" i="21" s="1"/>
  <c r="A15" i="20"/>
  <c r="I15" i="20" s="1"/>
  <c r="A15" i="22"/>
  <c r="I15" i="22" s="1"/>
  <c r="A15" i="8"/>
  <c r="I15" i="8" s="1"/>
  <c r="A15" i="15"/>
  <c r="A15" i="11"/>
  <c r="I15" i="11" s="1"/>
  <c r="B15" i="5"/>
  <c r="A15" i="7"/>
  <c r="I15" i="7" s="1"/>
  <c r="A15" i="14"/>
  <c r="I15" i="14" s="1"/>
  <c r="A15" i="3"/>
  <c r="I15" i="3" s="1"/>
  <c r="A15" i="10"/>
  <c r="I15" i="10" s="1"/>
  <c r="A15" i="1"/>
  <c r="B15" i="4"/>
  <c r="A15" i="19"/>
  <c r="I15" i="19" s="1"/>
  <c r="A15" i="9"/>
  <c r="I15" i="9" s="1"/>
  <c r="A15" i="12"/>
  <c r="I15" i="12" s="1"/>
  <c r="A15" i="6"/>
  <c r="I15" i="6" s="1"/>
  <c r="B15" i="13"/>
  <c r="E32" i="4"/>
  <c r="E23" i="4"/>
  <c r="E34" i="4"/>
  <c r="E25" i="4"/>
  <c r="E22" i="4"/>
  <c r="E19" i="4"/>
  <c r="E35" i="4"/>
  <c r="E26" i="4"/>
  <c r="E20" i="4"/>
  <c r="E33" i="4"/>
  <c r="E27" i="4"/>
  <c r="E24" i="4"/>
  <c r="E21" i="4"/>
  <c r="E9" i="4"/>
  <c r="E5" i="4"/>
  <c r="A16" i="21" l="1"/>
  <c r="I16" i="21" s="1"/>
  <c r="A16" i="20"/>
  <c r="I16" i="20" s="1"/>
  <c r="A17" i="16"/>
  <c r="A16" i="22"/>
  <c r="I16" i="22" s="1"/>
  <c r="A16" i="8"/>
  <c r="I16" i="8" s="1"/>
  <c r="A16" i="15"/>
  <c r="A16" i="11"/>
  <c r="I16" i="11" s="1"/>
  <c r="B16" i="5"/>
  <c r="B16" i="13"/>
  <c r="A16" i="7"/>
  <c r="I16" i="7" s="1"/>
  <c r="A16" i="14"/>
  <c r="I16" i="14" s="1"/>
  <c r="A16" i="10"/>
  <c r="I16" i="10" s="1"/>
  <c r="A16" i="1"/>
  <c r="A16" i="19"/>
  <c r="I16" i="19" s="1"/>
  <c r="B16" i="4"/>
  <c r="A16" i="9"/>
  <c r="I16" i="9" s="1"/>
  <c r="A16" i="12"/>
  <c r="I16" i="12" s="1"/>
  <c r="A16" i="3"/>
  <c r="I16" i="3" s="1"/>
  <c r="A16" i="6"/>
  <c r="I16" i="6" s="1"/>
  <c r="C13" i="4"/>
  <c r="D13" i="4" s="1"/>
  <c r="C18" i="4"/>
  <c r="D18" i="4" s="1"/>
  <c r="F5" i="4"/>
  <c r="F35" i="4"/>
  <c r="C19" i="4"/>
  <c r="D19" i="4" s="1"/>
  <c r="G19" i="4" s="1"/>
  <c r="C20" i="4"/>
  <c r="D20" i="4" s="1"/>
  <c r="G20" i="4" s="1"/>
  <c r="C14" i="4"/>
  <c r="D14" i="4" s="1"/>
  <c r="B11" i="16"/>
  <c r="C11" i="16" s="1"/>
  <c r="C21" i="4"/>
  <c r="D21" i="4" s="1"/>
  <c r="H21" i="4" s="1"/>
  <c r="C22" i="4"/>
  <c r="D22" i="4" s="1"/>
  <c r="G22" i="4" s="1"/>
  <c r="F24" i="4"/>
  <c r="C23" i="4"/>
  <c r="D23" i="4" s="1"/>
  <c r="H23" i="4" s="1"/>
  <c r="C24" i="4"/>
  <c r="D24" i="4" s="1"/>
  <c r="H24" i="4" s="1"/>
  <c r="F34" i="4"/>
  <c r="C29" i="4"/>
  <c r="D29" i="4" s="1"/>
  <c r="C25" i="4"/>
  <c r="D25" i="4" s="1"/>
  <c r="H25" i="4" s="1"/>
  <c r="C26" i="4"/>
  <c r="D26" i="4" s="1"/>
  <c r="H26" i="4" s="1"/>
  <c r="F21" i="4"/>
  <c r="F23" i="4"/>
  <c r="C27" i="4"/>
  <c r="D27" i="4" s="1"/>
  <c r="H27" i="4" s="1"/>
  <c r="C32" i="4"/>
  <c r="D32" i="4" s="1"/>
  <c r="H32" i="4" s="1"/>
  <c r="C31" i="4"/>
  <c r="D31" i="4" s="1"/>
  <c r="C33" i="4"/>
  <c r="D33" i="4" s="1"/>
  <c r="G33" i="4" s="1"/>
  <c r="C34" i="4"/>
  <c r="D34" i="4" s="1"/>
  <c r="H34" i="4" s="1"/>
  <c r="F32" i="4"/>
  <c r="C35" i="4"/>
  <c r="D35" i="4" s="1"/>
  <c r="G35" i="4" s="1"/>
  <c r="F9" i="4"/>
  <c r="F33" i="4"/>
  <c r="F19" i="4"/>
  <c r="C28" i="4"/>
  <c r="D28" i="4" s="1"/>
  <c r="C6" i="4"/>
  <c r="D6" i="4" s="1"/>
  <c r="C5" i="4"/>
  <c r="C7" i="4"/>
  <c r="D7" i="4" s="1"/>
  <c r="C15" i="4"/>
  <c r="D15" i="4" s="1"/>
  <c r="F27" i="4"/>
  <c r="F20" i="4"/>
  <c r="F22" i="4"/>
  <c r="C8" i="4"/>
  <c r="D8" i="4" s="1"/>
  <c r="C9" i="4"/>
  <c r="D9" i="4" s="1"/>
  <c r="G9" i="4" s="1"/>
  <c r="C16" i="4"/>
  <c r="D16" i="4" s="1"/>
  <c r="C17" i="4"/>
  <c r="D17" i="4" s="1"/>
  <c r="F26" i="4"/>
  <c r="F25" i="4"/>
  <c r="C30" i="4"/>
  <c r="D30" i="4" s="1"/>
  <c r="C10" i="4"/>
  <c r="D10" i="4" s="1"/>
  <c r="C12" i="4"/>
  <c r="D12" i="4" s="1"/>
  <c r="E28" i="4"/>
  <c r="E30" i="4"/>
  <c r="E29" i="4"/>
  <c r="E31" i="4"/>
  <c r="E6" i="4"/>
  <c r="E10" i="4"/>
  <c r="E14" i="4"/>
  <c r="E18" i="4"/>
  <c r="E11" i="4"/>
  <c r="E15" i="4"/>
  <c r="E12" i="4"/>
  <c r="E16" i="4"/>
  <c r="E7" i="4"/>
  <c r="E13" i="4"/>
  <c r="E17" i="4"/>
  <c r="D9" i="16"/>
  <c r="A17" i="21" l="1"/>
  <c r="I17" i="21" s="1"/>
  <c r="A17" i="20"/>
  <c r="I17" i="20" s="1"/>
  <c r="A17" i="22"/>
  <c r="I17" i="22" s="1"/>
  <c r="A18" i="16"/>
  <c r="A17" i="8"/>
  <c r="I17" i="8" s="1"/>
  <c r="B17" i="13"/>
  <c r="A17" i="15"/>
  <c r="A17" i="11"/>
  <c r="I17" i="11" s="1"/>
  <c r="B17" i="5"/>
  <c r="A17" i="14"/>
  <c r="I17" i="14" s="1"/>
  <c r="A17" i="7"/>
  <c r="I17" i="7" s="1"/>
  <c r="A17" i="10"/>
  <c r="I17" i="10" s="1"/>
  <c r="A17" i="3"/>
  <c r="I17" i="3" s="1"/>
  <c r="A17" i="1"/>
  <c r="A17" i="19"/>
  <c r="I17" i="19" s="1"/>
  <c r="A17" i="9"/>
  <c r="I17" i="9" s="1"/>
  <c r="B17" i="4"/>
  <c r="A17" i="12"/>
  <c r="I17" i="12" s="1"/>
  <c r="A17" i="6"/>
  <c r="I17" i="6" s="1"/>
  <c r="B16" i="16"/>
  <c r="C16" i="16" s="1"/>
  <c r="G26" i="4"/>
  <c r="B8" i="16"/>
  <c r="C8" i="16" s="1"/>
  <c r="H16" i="4"/>
  <c r="G23" i="4"/>
  <c r="G21" i="4"/>
  <c r="H19" i="4"/>
  <c r="G34" i="4"/>
  <c r="H33" i="4"/>
  <c r="G27" i="4"/>
  <c r="H9" i="4"/>
  <c r="G25" i="4"/>
  <c r="B32" i="16"/>
  <c r="C32" i="16" s="1"/>
  <c r="B20" i="16"/>
  <c r="C20" i="16" s="1"/>
  <c r="G15" i="4"/>
  <c r="H15" i="4"/>
  <c r="F15" i="4"/>
  <c r="B27" i="16"/>
  <c r="C27" i="16" s="1"/>
  <c r="B24" i="16"/>
  <c r="C24" i="16" s="1"/>
  <c r="B19" i="16"/>
  <c r="C19" i="16" s="1"/>
  <c r="E9" i="16"/>
  <c r="H11" i="4"/>
  <c r="F11" i="4"/>
  <c r="G11" i="4"/>
  <c r="F30" i="4"/>
  <c r="H30" i="4"/>
  <c r="G30" i="4"/>
  <c r="G17" i="4"/>
  <c r="B23" i="16"/>
  <c r="C23" i="16" s="1"/>
  <c r="H28" i="4"/>
  <c r="F28" i="4"/>
  <c r="G28" i="4"/>
  <c r="B17" i="16"/>
  <c r="C17" i="16" s="1"/>
  <c r="B15" i="16"/>
  <c r="C15" i="16" s="1"/>
  <c r="B35" i="16"/>
  <c r="C35" i="16" s="1"/>
  <c r="G24" i="4"/>
  <c r="H35" i="4"/>
  <c r="H17" i="4"/>
  <c r="F17" i="4"/>
  <c r="F14" i="4"/>
  <c r="H14" i="4"/>
  <c r="G14" i="4"/>
  <c r="B7" i="16"/>
  <c r="C7" i="16" s="1"/>
  <c r="G32" i="4"/>
  <c r="D5" i="4"/>
  <c r="C36" i="4"/>
  <c r="D36" i="4" s="1"/>
  <c r="B22" i="16"/>
  <c r="C22" i="16" s="1"/>
  <c r="F10" i="4"/>
  <c r="G10" i="4"/>
  <c r="B9" i="16"/>
  <c r="C9" i="16" s="1"/>
  <c r="G9" i="16" s="1"/>
  <c r="B5" i="16"/>
  <c r="B34" i="16"/>
  <c r="C34" i="16" s="1"/>
  <c r="B26" i="16"/>
  <c r="C26" i="16" s="1"/>
  <c r="B21" i="16"/>
  <c r="C21" i="16" s="1"/>
  <c r="B6" i="16"/>
  <c r="C6" i="16" s="1"/>
  <c r="H18" i="4"/>
  <c r="H12" i="4"/>
  <c r="F12" i="4"/>
  <c r="G12" i="4"/>
  <c r="H6" i="4"/>
  <c r="F6" i="4"/>
  <c r="B12" i="16"/>
  <c r="C12" i="16" s="1"/>
  <c r="G6" i="4"/>
  <c r="H10" i="4"/>
  <c r="B10" i="16"/>
  <c r="C10" i="16" s="1"/>
  <c r="B33" i="16"/>
  <c r="C33" i="16" s="1"/>
  <c r="B25" i="16"/>
  <c r="C25" i="16" s="1"/>
  <c r="B18" i="16"/>
  <c r="C18" i="16" s="1"/>
  <c r="F29" i="4"/>
  <c r="H29" i="4"/>
  <c r="G29" i="4"/>
  <c r="H20" i="4"/>
  <c r="F18" i="4"/>
  <c r="G18" i="4"/>
  <c r="F13" i="4"/>
  <c r="G13" i="4"/>
  <c r="H13" i="4"/>
  <c r="G16" i="4"/>
  <c r="F16" i="4"/>
  <c r="H31" i="4"/>
  <c r="F31" i="4"/>
  <c r="G31" i="4"/>
  <c r="H22" i="4"/>
  <c r="B28" i="16"/>
  <c r="C28" i="16" s="1"/>
  <c r="E8" i="4"/>
  <c r="H8" i="4" s="1"/>
  <c r="F7" i="4"/>
  <c r="H7" i="4"/>
  <c r="G7" i="4"/>
  <c r="B30" i="16"/>
  <c r="C30" i="16" s="1"/>
  <c r="B31" i="16"/>
  <c r="C31" i="16" s="1"/>
  <c r="B29" i="16"/>
  <c r="C29" i="16" s="1"/>
  <c r="B14" i="16"/>
  <c r="C14" i="16" s="1"/>
  <c r="B13" i="16"/>
  <c r="C13" i="16" s="1"/>
  <c r="A18" i="21" l="1"/>
  <c r="I18" i="21" s="1"/>
  <c r="A18" i="20"/>
  <c r="I18" i="20" s="1"/>
  <c r="A18" i="22"/>
  <c r="I18" i="22" s="1"/>
  <c r="A19" i="16"/>
  <c r="A18" i="15"/>
  <c r="A18" i="11"/>
  <c r="I18" i="11" s="1"/>
  <c r="B18" i="5"/>
  <c r="A18" i="7"/>
  <c r="I18" i="7" s="1"/>
  <c r="A18" i="14"/>
  <c r="I18" i="14" s="1"/>
  <c r="A18" i="10"/>
  <c r="I18" i="10" s="1"/>
  <c r="B18" i="13"/>
  <c r="A18" i="3"/>
  <c r="I18" i="3" s="1"/>
  <c r="A18" i="1"/>
  <c r="A18" i="19"/>
  <c r="I18" i="19" s="1"/>
  <c r="A18" i="9"/>
  <c r="I18" i="9" s="1"/>
  <c r="B18" i="4"/>
  <c r="A18" i="6"/>
  <c r="I18" i="6" s="1"/>
  <c r="A18" i="12"/>
  <c r="I18" i="12" s="1"/>
  <c r="A18" i="8"/>
  <c r="I18" i="8" s="1"/>
  <c r="D8" i="16"/>
  <c r="E8" i="16" s="1"/>
  <c r="F9" i="16"/>
  <c r="B36" i="16"/>
  <c r="C36" i="16" s="1"/>
  <c r="C5" i="16"/>
  <c r="G8" i="4"/>
  <c r="F8" i="4"/>
  <c r="H5" i="4"/>
  <c r="G5" i="4"/>
  <c r="E36" i="4"/>
  <c r="F36" i="4" s="1"/>
  <c r="A19" i="22" l="1"/>
  <c r="I19" i="22" s="1"/>
  <c r="A20" i="16"/>
  <c r="A19" i="21"/>
  <c r="I19" i="21" s="1"/>
  <c r="A19" i="20"/>
  <c r="I19" i="20" s="1"/>
  <c r="A19" i="11"/>
  <c r="I19" i="11" s="1"/>
  <c r="A19" i="7"/>
  <c r="I19" i="7" s="1"/>
  <c r="A19" i="14"/>
  <c r="I19" i="14" s="1"/>
  <c r="A19" i="10"/>
  <c r="I19" i="10" s="1"/>
  <c r="A19" i="3"/>
  <c r="I19" i="3" s="1"/>
  <c r="B19" i="13"/>
  <c r="A19" i="19"/>
  <c r="I19" i="19" s="1"/>
  <c r="A19" i="1"/>
  <c r="A19" i="9"/>
  <c r="I19" i="9" s="1"/>
  <c r="B19" i="4"/>
  <c r="A19" i="6"/>
  <c r="I19" i="6" s="1"/>
  <c r="A19" i="12"/>
  <c r="I19" i="12" s="1"/>
  <c r="A19" i="8"/>
  <c r="I19" i="8" s="1"/>
  <c r="A19" i="15"/>
  <c r="B19" i="5"/>
  <c r="G36" i="4"/>
  <c r="G8" i="16"/>
  <c r="F8" i="16"/>
  <c r="H36" i="4"/>
  <c r="A20" i="22" l="1"/>
  <c r="I20" i="22" s="1"/>
  <c r="A20" i="20"/>
  <c r="I20" i="20" s="1"/>
  <c r="A21" i="16"/>
  <c r="A20" i="21"/>
  <c r="I20" i="21" s="1"/>
  <c r="A20" i="11"/>
  <c r="I20" i="11" s="1"/>
  <c r="B20" i="5"/>
  <c r="A20" i="7"/>
  <c r="I20" i="7" s="1"/>
  <c r="A20" i="14"/>
  <c r="I20" i="14" s="1"/>
  <c r="A20" i="10"/>
  <c r="I20" i="10" s="1"/>
  <c r="A20" i="3"/>
  <c r="I20" i="3" s="1"/>
  <c r="A20" i="1"/>
  <c r="A20" i="19"/>
  <c r="I20" i="19" s="1"/>
  <c r="A20" i="9"/>
  <c r="I20" i="9" s="1"/>
  <c r="B20" i="4"/>
  <c r="A20" i="12"/>
  <c r="I20" i="12" s="1"/>
  <c r="A20" i="6"/>
  <c r="I20" i="6" s="1"/>
  <c r="A20" i="15"/>
  <c r="B20" i="13"/>
  <c r="A20" i="8"/>
  <c r="I20" i="8" s="1"/>
  <c r="D35" i="16"/>
  <c r="A21" i="20" l="1"/>
  <c r="I21" i="20" s="1"/>
  <c r="A21" i="21"/>
  <c r="I21" i="21" s="1"/>
  <c r="A22" i="16"/>
  <c r="A21" i="22"/>
  <c r="I21" i="22" s="1"/>
  <c r="B21" i="5"/>
  <c r="A21" i="7"/>
  <c r="I21" i="7" s="1"/>
  <c r="A21" i="14"/>
  <c r="I21" i="14" s="1"/>
  <c r="A21" i="10"/>
  <c r="I21" i="10" s="1"/>
  <c r="A21" i="3"/>
  <c r="I21" i="3" s="1"/>
  <c r="A21" i="1"/>
  <c r="A21" i="19"/>
  <c r="I21" i="19" s="1"/>
  <c r="A21" i="9"/>
  <c r="I21" i="9" s="1"/>
  <c r="B21" i="4"/>
  <c r="A21" i="12"/>
  <c r="I21" i="12" s="1"/>
  <c r="A21" i="6"/>
  <c r="I21" i="6" s="1"/>
  <c r="A21" i="8"/>
  <c r="I21" i="8" s="1"/>
  <c r="A21" i="15"/>
  <c r="B21" i="13"/>
  <c r="A21" i="11"/>
  <c r="I21" i="11" s="1"/>
  <c r="E35" i="16"/>
  <c r="F35" i="16"/>
  <c r="G35" i="16"/>
  <c r="A22" i="20" l="1"/>
  <c r="I22" i="20" s="1"/>
  <c r="A22" i="21"/>
  <c r="I22" i="21" s="1"/>
  <c r="A22" i="22"/>
  <c r="I22" i="22" s="1"/>
  <c r="A23" i="16"/>
  <c r="A22" i="7"/>
  <c r="I22" i="7" s="1"/>
  <c r="A22" i="14"/>
  <c r="I22" i="14" s="1"/>
  <c r="A22" i="10"/>
  <c r="I22" i="10" s="1"/>
  <c r="A22" i="3"/>
  <c r="I22" i="3" s="1"/>
  <c r="A22" i="1"/>
  <c r="A22" i="19"/>
  <c r="I22" i="19" s="1"/>
  <c r="A22" i="9"/>
  <c r="I22" i="9" s="1"/>
  <c r="A22" i="15"/>
  <c r="A22" i="12"/>
  <c r="I22" i="12" s="1"/>
  <c r="A22" i="6"/>
  <c r="I22" i="6" s="1"/>
  <c r="B22" i="4"/>
  <c r="A22" i="8"/>
  <c r="I22" i="8" s="1"/>
  <c r="B22" i="13"/>
  <c r="A22" i="11"/>
  <c r="I22" i="11" s="1"/>
  <c r="B22" i="5"/>
  <c r="D34" i="16"/>
  <c r="D33" i="16"/>
  <c r="A23" i="21" l="1"/>
  <c r="I23" i="21" s="1"/>
  <c r="A23" i="22"/>
  <c r="I23" i="22" s="1"/>
  <c r="A24" i="16"/>
  <c r="A23" i="20"/>
  <c r="I23" i="20" s="1"/>
  <c r="A23" i="7"/>
  <c r="I23" i="7" s="1"/>
  <c r="A23" i="3"/>
  <c r="I23" i="3" s="1"/>
  <c r="A23" i="14"/>
  <c r="I23" i="14" s="1"/>
  <c r="A23" i="10"/>
  <c r="I23" i="10" s="1"/>
  <c r="A23" i="1"/>
  <c r="A23" i="19"/>
  <c r="I23" i="19" s="1"/>
  <c r="A23" i="9"/>
  <c r="I23" i="9" s="1"/>
  <c r="A23" i="12"/>
  <c r="I23" i="12" s="1"/>
  <c r="B23" i="13"/>
  <c r="A23" i="6"/>
  <c r="I23" i="6" s="1"/>
  <c r="A23" i="15"/>
  <c r="A23" i="8"/>
  <c r="I23" i="8" s="1"/>
  <c r="A23" i="11"/>
  <c r="I23" i="11" s="1"/>
  <c r="B23" i="5"/>
  <c r="B23" i="4"/>
  <c r="G33" i="16"/>
  <c r="F33" i="16"/>
  <c r="E33" i="16"/>
  <c r="G34" i="16"/>
  <c r="E34" i="16"/>
  <c r="F34" i="16"/>
  <c r="A24" i="21" l="1"/>
  <c r="I24" i="21" s="1"/>
  <c r="A24" i="22"/>
  <c r="I24" i="22" s="1"/>
  <c r="A25" i="16"/>
  <c r="A24" i="20"/>
  <c r="I24" i="20" s="1"/>
  <c r="A24" i="7"/>
  <c r="I24" i="7" s="1"/>
  <c r="A24" i="14"/>
  <c r="I24" i="14" s="1"/>
  <c r="A24" i="3"/>
  <c r="I24" i="3" s="1"/>
  <c r="A24" i="10"/>
  <c r="I24" i="10" s="1"/>
  <c r="A24" i="1"/>
  <c r="A24" i="19"/>
  <c r="I24" i="19" s="1"/>
  <c r="A24" i="9"/>
  <c r="I24" i="9" s="1"/>
  <c r="B24" i="4"/>
  <c r="A24" i="12"/>
  <c r="I24" i="12" s="1"/>
  <c r="A24" i="6"/>
  <c r="I24" i="6" s="1"/>
  <c r="B24" i="13"/>
  <c r="A24" i="8"/>
  <c r="I24" i="8" s="1"/>
  <c r="A24" i="15"/>
  <c r="A24" i="11"/>
  <c r="I24" i="11" s="1"/>
  <c r="B24" i="5"/>
  <c r="D5" i="16"/>
  <c r="A25" i="22" l="1"/>
  <c r="I25" i="22" s="1"/>
  <c r="A25" i="21"/>
  <c r="I25" i="21" s="1"/>
  <c r="A26" i="16"/>
  <c r="A25" i="20"/>
  <c r="I25" i="20" s="1"/>
  <c r="A25" i="14"/>
  <c r="I25" i="14" s="1"/>
  <c r="A25" i="10"/>
  <c r="I25" i="10" s="1"/>
  <c r="A25" i="3"/>
  <c r="I25" i="3" s="1"/>
  <c r="A25" i="1"/>
  <c r="A25" i="19"/>
  <c r="I25" i="19" s="1"/>
  <c r="A25" i="9"/>
  <c r="I25" i="9" s="1"/>
  <c r="B25" i="4"/>
  <c r="A25" i="12"/>
  <c r="I25" i="12" s="1"/>
  <c r="A25" i="6"/>
  <c r="I25" i="6" s="1"/>
  <c r="A25" i="15"/>
  <c r="A25" i="8"/>
  <c r="I25" i="8" s="1"/>
  <c r="B25" i="13"/>
  <c r="A25" i="11"/>
  <c r="I25" i="11" s="1"/>
  <c r="B25" i="5"/>
  <c r="A25" i="7"/>
  <c r="I25" i="7" s="1"/>
  <c r="G5" i="16"/>
  <c r="E5" i="16"/>
  <c r="F5" i="16"/>
  <c r="D7" i="16"/>
  <c r="D11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A26" i="22" l="1"/>
  <c r="I26" i="22" s="1"/>
  <c r="A26" i="20"/>
  <c r="I26" i="20" s="1"/>
  <c r="A26" i="21"/>
  <c r="I26" i="21" s="1"/>
  <c r="A27" i="16"/>
  <c r="A26" i="10"/>
  <c r="I26" i="10" s="1"/>
  <c r="A26" i="3"/>
  <c r="I26" i="3" s="1"/>
  <c r="A26" i="1"/>
  <c r="A26" i="19"/>
  <c r="I26" i="19" s="1"/>
  <c r="A26" i="9"/>
  <c r="I26" i="9" s="1"/>
  <c r="B26" i="4"/>
  <c r="A26" i="12"/>
  <c r="I26" i="12" s="1"/>
  <c r="B26" i="13"/>
  <c r="A26" i="8"/>
  <c r="I26" i="8" s="1"/>
  <c r="A26" i="15"/>
  <c r="B26" i="5"/>
  <c r="A26" i="11"/>
  <c r="I26" i="11" s="1"/>
  <c r="A26" i="6"/>
  <c r="I26" i="6" s="1"/>
  <c r="A26" i="7"/>
  <c r="I26" i="7" s="1"/>
  <c r="A26" i="14"/>
  <c r="I26" i="14" s="1"/>
  <c r="E13" i="16"/>
  <c r="F13" i="16"/>
  <c r="G13" i="16"/>
  <c r="E27" i="16"/>
  <c r="G27" i="16"/>
  <c r="F27" i="16"/>
  <c r="E29" i="16"/>
  <c r="F29" i="16"/>
  <c r="G29" i="16"/>
  <c r="G26" i="16"/>
  <c r="E26" i="16"/>
  <c r="F26" i="16"/>
  <c r="G25" i="16"/>
  <c r="F25" i="16"/>
  <c r="E25" i="16"/>
  <c r="D12" i="16"/>
  <c r="G22" i="16"/>
  <c r="F22" i="16"/>
  <c r="E22" i="16"/>
  <c r="G24" i="16"/>
  <c r="E24" i="16"/>
  <c r="F24" i="16"/>
  <c r="E20" i="16"/>
  <c r="F20" i="16"/>
  <c r="G20" i="16"/>
  <c r="E19" i="16"/>
  <c r="F19" i="16"/>
  <c r="G19" i="16"/>
  <c r="E23" i="16"/>
  <c r="F23" i="16"/>
  <c r="G23" i="16"/>
  <c r="G18" i="16"/>
  <c r="E18" i="16"/>
  <c r="F18" i="16"/>
  <c r="E7" i="16"/>
  <c r="F7" i="16"/>
  <c r="G7" i="16"/>
  <c r="G17" i="16"/>
  <c r="F17" i="16"/>
  <c r="E17" i="16"/>
  <c r="G32" i="16"/>
  <c r="E32" i="16"/>
  <c r="F32" i="16"/>
  <c r="G16" i="16"/>
  <c r="E16" i="16"/>
  <c r="F16" i="16"/>
  <c r="F28" i="16"/>
  <c r="E28" i="16"/>
  <c r="G28" i="16"/>
  <c r="E11" i="16"/>
  <c r="G11" i="16"/>
  <c r="F11" i="16"/>
  <c r="D10" i="16"/>
  <c r="E31" i="16"/>
  <c r="F31" i="16"/>
  <c r="G31" i="16"/>
  <c r="E15" i="16"/>
  <c r="F15" i="16"/>
  <c r="G15" i="16"/>
  <c r="E21" i="16"/>
  <c r="F21" i="16"/>
  <c r="G21" i="16"/>
  <c r="F30" i="16"/>
  <c r="E30" i="16"/>
  <c r="G30" i="16"/>
  <c r="G14" i="16"/>
  <c r="F14" i="16"/>
  <c r="E14" i="16"/>
  <c r="A27" i="20" l="1"/>
  <c r="I27" i="20" s="1"/>
  <c r="A27" i="21"/>
  <c r="I27" i="21" s="1"/>
  <c r="A28" i="16"/>
  <c r="A27" i="22"/>
  <c r="I27" i="22" s="1"/>
  <c r="A27" i="10"/>
  <c r="I27" i="10" s="1"/>
  <c r="A27" i="1"/>
  <c r="A27" i="19"/>
  <c r="I27" i="19" s="1"/>
  <c r="A27" i="9"/>
  <c r="I27" i="9" s="1"/>
  <c r="B27" i="4"/>
  <c r="A27" i="12"/>
  <c r="I27" i="12" s="1"/>
  <c r="A27" i="6"/>
  <c r="I27" i="6" s="1"/>
  <c r="A27" i="8"/>
  <c r="I27" i="8" s="1"/>
  <c r="A27" i="15"/>
  <c r="B27" i="5"/>
  <c r="B27" i="13"/>
  <c r="A27" i="11"/>
  <c r="I27" i="11" s="1"/>
  <c r="A27" i="7"/>
  <c r="I27" i="7" s="1"/>
  <c r="A27" i="14"/>
  <c r="I27" i="14" s="1"/>
  <c r="A27" i="3"/>
  <c r="I27" i="3" s="1"/>
  <c r="D6" i="16"/>
  <c r="G10" i="16"/>
  <c r="E10" i="16"/>
  <c r="F10" i="16"/>
  <c r="F12" i="16"/>
  <c r="G12" i="16"/>
  <c r="E12" i="16"/>
  <c r="A28" i="20" l="1"/>
  <c r="I28" i="20" s="1"/>
  <c r="A28" i="21"/>
  <c r="I28" i="21" s="1"/>
  <c r="A29" i="16"/>
  <c r="A28" i="22"/>
  <c r="I28" i="22" s="1"/>
  <c r="A28" i="3"/>
  <c r="I28" i="3" s="1"/>
  <c r="A28" i="1"/>
  <c r="A28" i="19"/>
  <c r="I28" i="19" s="1"/>
  <c r="A28" i="9"/>
  <c r="I28" i="9" s="1"/>
  <c r="B28" i="4"/>
  <c r="A28" i="12"/>
  <c r="I28" i="12" s="1"/>
  <c r="A28" i="6"/>
  <c r="I28" i="6" s="1"/>
  <c r="A28" i="8"/>
  <c r="I28" i="8" s="1"/>
  <c r="A28" i="15"/>
  <c r="B28" i="13"/>
  <c r="A28" i="11"/>
  <c r="I28" i="11" s="1"/>
  <c r="B28" i="5"/>
  <c r="A28" i="7"/>
  <c r="I28" i="7" s="1"/>
  <c r="A28" i="14"/>
  <c r="I28" i="14" s="1"/>
  <c r="A28" i="10"/>
  <c r="I28" i="10" s="1"/>
  <c r="F6" i="16"/>
  <c r="G6" i="16"/>
  <c r="E6" i="16"/>
  <c r="D36" i="16"/>
  <c r="E37" i="4"/>
  <c r="A29" i="20" l="1"/>
  <c r="I29" i="20" s="1"/>
  <c r="A29" i="21"/>
  <c r="I29" i="21" s="1"/>
  <c r="A30" i="16"/>
  <c r="A29" i="22"/>
  <c r="I29" i="22" s="1"/>
  <c r="A29" i="1"/>
  <c r="A29" i="19"/>
  <c r="I29" i="19" s="1"/>
  <c r="A29" i="8"/>
  <c r="I29" i="8" s="1"/>
  <c r="A29" i="15"/>
  <c r="A29" i="9"/>
  <c r="I29" i="9" s="1"/>
  <c r="B29" i="4"/>
  <c r="A29" i="12"/>
  <c r="I29" i="12" s="1"/>
  <c r="A29" i="6"/>
  <c r="I29" i="6" s="1"/>
  <c r="A29" i="11"/>
  <c r="I29" i="11" s="1"/>
  <c r="B29" i="5"/>
  <c r="A29" i="7"/>
  <c r="I29" i="7" s="1"/>
  <c r="A29" i="14"/>
  <c r="I29" i="14" s="1"/>
  <c r="B29" i="13"/>
  <c r="A29" i="10"/>
  <c r="I29" i="10" s="1"/>
  <c r="A29" i="3"/>
  <c r="I29" i="3" s="1"/>
  <c r="D37" i="4"/>
  <c r="G37" i="4" s="1"/>
  <c r="F36" i="16"/>
  <c r="E36" i="16"/>
  <c r="G36" i="16"/>
  <c r="A31" i="16" l="1"/>
  <c r="A30" i="21"/>
  <c r="I30" i="21" s="1"/>
  <c r="A30" i="22"/>
  <c r="I30" i="22" s="1"/>
  <c r="A30" i="20"/>
  <c r="I30" i="20" s="1"/>
  <c r="A30" i="1"/>
  <c r="A30" i="9"/>
  <c r="I30" i="9" s="1"/>
  <c r="A30" i="19"/>
  <c r="I30" i="19" s="1"/>
  <c r="B30" i="4"/>
  <c r="A30" i="12"/>
  <c r="I30" i="12" s="1"/>
  <c r="A30" i="6"/>
  <c r="I30" i="6" s="1"/>
  <c r="A30" i="8"/>
  <c r="I30" i="8" s="1"/>
  <c r="A30" i="11"/>
  <c r="I30" i="11" s="1"/>
  <c r="B30" i="5"/>
  <c r="A30" i="14"/>
  <c r="I30" i="14" s="1"/>
  <c r="A30" i="7"/>
  <c r="I30" i="7" s="1"/>
  <c r="A30" i="15"/>
  <c r="A30" i="10"/>
  <c r="I30" i="10" s="1"/>
  <c r="B30" i="13"/>
  <c r="A30" i="3"/>
  <c r="I30" i="3" s="1"/>
  <c r="H37" i="4"/>
  <c r="A32" i="16" l="1"/>
  <c r="A31" i="20"/>
  <c r="I31" i="20" s="1"/>
  <c r="A31" i="21"/>
  <c r="I31" i="21" s="1"/>
  <c r="A31" i="22"/>
  <c r="I31" i="22" s="1"/>
  <c r="A31" i="19"/>
  <c r="I31" i="19" s="1"/>
  <c r="A31" i="9"/>
  <c r="I31" i="9" s="1"/>
  <c r="B31" i="4"/>
  <c r="A31" i="12"/>
  <c r="I31" i="12" s="1"/>
  <c r="A31" i="6"/>
  <c r="I31" i="6" s="1"/>
  <c r="A31" i="8"/>
  <c r="I31" i="8" s="1"/>
  <c r="A31" i="15"/>
  <c r="A31" i="11"/>
  <c r="I31" i="11" s="1"/>
  <c r="B31" i="5"/>
  <c r="A31" i="14"/>
  <c r="I31" i="14" s="1"/>
  <c r="A31" i="7"/>
  <c r="I31" i="7" s="1"/>
  <c r="B31" i="13"/>
  <c r="A31" i="10"/>
  <c r="I31" i="10" s="1"/>
  <c r="A31" i="3"/>
  <c r="I31" i="3" s="1"/>
  <c r="A31" i="1"/>
  <c r="A33" i="16" l="1"/>
  <c r="A32" i="22"/>
  <c r="I32" i="22" s="1"/>
  <c r="A32" i="20"/>
  <c r="I32" i="20" s="1"/>
  <c r="A32" i="21"/>
  <c r="I32" i="21" s="1"/>
  <c r="A32" i="9"/>
  <c r="I32" i="9" s="1"/>
  <c r="B32" i="4"/>
  <c r="A32" i="12"/>
  <c r="I32" i="12" s="1"/>
  <c r="A32" i="6"/>
  <c r="I32" i="6" s="1"/>
  <c r="A32" i="8"/>
  <c r="I32" i="8" s="1"/>
  <c r="A32" i="15"/>
  <c r="A32" i="11"/>
  <c r="I32" i="11" s="1"/>
  <c r="A32" i="7"/>
  <c r="I32" i="7" s="1"/>
  <c r="A32" i="14"/>
  <c r="I32" i="14" s="1"/>
  <c r="B32" i="5"/>
  <c r="A32" i="10"/>
  <c r="I32" i="10" s="1"/>
  <c r="A32" i="3"/>
  <c r="I32" i="3" s="1"/>
  <c r="A32" i="1"/>
  <c r="A32" i="19"/>
  <c r="I32" i="19" s="1"/>
  <c r="B32" i="13"/>
  <c r="A34" i="16" l="1"/>
  <c r="A33" i="20"/>
  <c r="I33" i="20" s="1"/>
  <c r="A33" i="21"/>
  <c r="I33" i="21" s="1"/>
  <c r="A33" i="22"/>
  <c r="I33" i="22" s="1"/>
  <c r="B33" i="13"/>
  <c r="A33" i="9"/>
  <c r="I33" i="9" s="1"/>
  <c r="B33" i="4"/>
  <c r="A33" i="12"/>
  <c r="I33" i="12" s="1"/>
  <c r="A33" i="6"/>
  <c r="I33" i="6" s="1"/>
  <c r="A33" i="8"/>
  <c r="I33" i="8" s="1"/>
  <c r="A33" i="15"/>
  <c r="A33" i="11"/>
  <c r="I33" i="11" s="1"/>
  <c r="A33" i="7"/>
  <c r="I33" i="7" s="1"/>
  <c r="A33" i="14"/>
  <c r="I33" i="14" s="1"/>
  <c r="A33" i="3"/>
  <c r="I33" i="3" s="1"/>
  <c r="A33" i="10"/>
  <c r="I33" i="10" s="1"/>
  <c r="B33" i="5"/>
  <c r="A33" i="1"/>
  <c r="A33" i="19"/>
  <c r="I33" i="19" s="1"/>
  <c r="A34" i="21" l="1"/>
  <c r="I34" i="21" s="1"/>
  <c r="A35" i="16"/>
  <c r="A34" i="20"/>
  <c r="I34" i="20" s="1"/>
  <c r="A34" i="22"/>
  <c r="I34" i="22" s="1"/>
  <c r="A34" i="9"/>
  <c r="I34" i="9" s="1"/>
  <c r="B34" i="13"/>
  <c r="B34" i="4"/>
  <c r="A34" i="12"/>
  <c r="I34" i="12" s="1"/>
  <c r="A34" i="6"/>
  <c r="I34" i="6" s="1"/>
  <c r="A34" i="8"/>
  <c r="I34" i="8" s="1"/>
  <c r="A34" i="11"/>
  <c r="I34" i="11" s="1"/>
  <c r="B34" i="5"/>
  <c r="A34" i="7"/>
  <c r="I34" i="7" s="1"/>
  <c r="A34" i="14"/>
  <c r="I34" i="14" s="1"/>
  <c r="A34" i="10"/>
  <c r="I34" i="10" s="1"/>
  <c r="A34" i="3"/>
  <c r="I34" i="3" s="1"/>
  <c r="A34" i="1"/>
  <c r="A34" i="19"/>
  <c r="I34" i="19" s="1"/>
  <c r="A34" i="15"/>
  <c r="A35" i="20" l="1"/>
  <c r="I35" i="20" s="1"/>
  <c r="A35" i="21"/>
  <c r="I35" i="21" s="1"/>
  <c r="A35" i="22"/>
  <c r="I35" i="22" s="1"/>
  <c r="B35" i="4"/>
  <c r="A35" i="12"/>
  <c r="I35" i="12" s="1"/>
  <c r="B35" i="13"/>
  <c r="A35" i="6"/>
  <c r="I35" i="6" s="1"/>
  <c r="A35" i="8"/>
  <c r="I35" i="8" s="1"/>
  <c r="A35" i="15"/>
  <c r="A35" i="11"/>
  <c r="I35" i="11" s="1"/>
  <c r="B35" i="5"/>
  <c r="A35" i="7"/>
  <c r="I35" i="7" s="1"/>
  <c r="A35" i="14"/>
  <c r="I35" i="14" s="1"/>
  <c r="A35" i="10"/>
  <c r="I35" i="10" s="1"/>
  <c r="A35" i="3"/>
  <c r="I35" i="3" s="1"/>
  <c r="A35" i="19"/>
  <c r="I35" i="19" s="1"/>
  <c r="A35" i="1"/>
  <c r="A35" i="9"/>
  <c r="I35" i="9" s="1"/>
</calcChain>
</file>

<file path=xl/sharedStrings.xml><?xml version="1.0" encoding="utf-8"?>
<sst xmlns="http://schemas.openxmlformats.org/spreadsheetml/2006/main" count="317" uniqueCount="108">
  <si>
    <t>9999_EC自社運用</t>
    <phoneticPr fontId="3"/>
  </si>
  <si>
    <t>9999_EC自社運用</t>
    <rPh sb="7" eb="9">
      <t>ジシャ</t>
    </rPh>
    <rPh sb="9" eb="11">
      <t>ウンヨウ</t>
    </rPh>
    <phoneticPr fontId="3"/>
  </si>
  <si>
    <t>ニクサー</t>
    <phoneticPr fontId="3"/>
  </si>
  <si>
    <t>arrow</t>
    <phoneticPr fontId="3"/>
  </si>
  <si>
    <t>すっぽん女性_マンガLP</t>
    <rPh sb="4" eb="6">
      <t>ジョセイ</t>
    </rPh>
    <phoneticPr fontId="3"/>
  </si>
  <si>
    <t>フクロウ</t>
    <phoneticPr fontId="3"/>
  </si>
  <si>
    <t>プルーストクリーム</t>
    <phoneticPr fontId="3"/>
  </si>
  <si>
    <t>mixx</t>
    <phoneticPr fontId="3"/>
  </si>
  <si>
    <t>バーキュリー</t>
    <phoneticPr fontId="3"/>
  </si>
  <si>
    <t>advoltex</t>
    <phoneticPr fontId="3"/>
  </si>
  <si>
    <t>ネット（税込）</t>
    <rPh sb="4" eb="6">
      <t>ゼイコ</t>
    </rPh>
    <phoneticPr fontId="3"/>
  </si>
  <si>
    <t>広告費合計（税別）</t>
    <rPh sb="0" eb="3">
      <t>コウコクヒ</t>
    </rPh>
    <rPh sb="3" eb="5">
      <t>ゴウケイ</t>
    </rPh>
    <rPh sb="6" eb="8">
      <t>ゼイベツ</t>
    </rPh>
    <phoneticPr fontId="3"/>
  </si>
  <si>
    <t>売上（税別）</t>
    <rPh sb="0" eb="2">
      <t>ウリアゲ</t>
    </rPh>
    <rPh sb="3" eb="5">
      <t>ゼイベツ</t>
    </rPh>
    <phoneticPr fontId="3"/>
  </si>
  <si>
    <t>グロス（税込）</t>
    <rPh sb="4" eb="6">
      <t>ゼイコ</t>
    </rPh>
    <phoneticPr fontId="3"/>
  </si>
  <si>
    <t>利益（税別）</t>
    <rPh sb="0" eb="2">
      <t>リエキ</t>
    </rPh>
    <rPh sb="3" eb="4">
      <t>ゼイ</t>
    </rPh>
    <rPh sb="4" eb="5">
      <t>ベツ</t>
    </rPh>
    <phoneticPr fontId="3"/>
  </si>
  <si>
    <t>回収率</t>
    <rPh sb="0" eb="2">
      <t>カイシュウ</t>
    </rPh>
    <rPh sb="2" eb="3">
      <t>リツ</t>
    </rPh>
    <phoneticPr fontId="3"/>
  </si>
  <si>
    <t>成果数</t>
    <rPh sb="0" eb="2">
      <t>セイカ</t>
    </rPh>
    <rPh sb="2" eb="3">
      <t>スウ</t>
    </rPh>
    <phoneticPr fontId="3"/>
  </si>
  <si>
    <t>CV</t>
    <phoneticPr fontId="3"/>
  </si>
  <si>
    <t>売上</t>
    <rPh sb="0" eb="2">
      <t>ウリアゲ</t>
    </rPh>
    <phoneticPr fontId="3"/>
  </si>
  <si>
    <t>グロス</t>
    <phoneticPr fontId="3"/>
  </si>
  <si>
    <t>バーキュリー</t>
  </si>
  <si>
    <t xml:space="preserve">株式会社ハーバルアイ </t>
  </si>
  <si>
    <t xml:space="preserve">株式会社グランディール </t>
  </si>
  <si>
    <t>株式会社ZERO PLUS</t>
  </si>
  <si>
    <t>計</t>
    <rPh sb="0" eb="1">
      <t>ケイ</t>
    </rPh>
    <phoneticPr fontId="3"/>
  </si>
  <si>
    <t>データ入力欄</t>
    <rPh sb="3" eb="5">
      <t>ニュウリョク</t>
    </rPh>
    <rPh sb="5" eb="6">
      <t>ラン</t>
    </rPh>
    <phoneticPr fontId="3"/>
  </si>
  <si>
    <t>ネット（税込）</t>
    <rPh sb="4" eb="6">
      <t>ゼイコミ</t>
    </rPh>
    <phoneticPr fontId="3"/>
  </si>
  <si>
    <t>利益（税別）</t>
    <rPh sb="0" eb="2">
      <t>リエキ</t>
    </rPh>
    <rPh sb="3" eb="5">
      <t>ゼイベツ</t>
    </rPh>
    <phoneticPr fontId="3"/>
  </si>
  <si>
    <t>グロス</t>
  </si>
  <si>
    <t>ネット</t>
  </si>
  <si>
    <t>Octopus合計</t>
    <rPh sb="7" eb="9">
      <t>ゴウケイ</t>
    </rPh>
    <phoneticPr fontId="3"/>
  </si>
  <si>
    <t>Advision合計</t>
    <rPh sb="8" eb="10">
      <t>ゴウケイ</t>
    </rPh>
    <phoneticPr fontId="3"/>
  </si>
  <si>
    <t>ADroute合計</t>
    <rPh sb="7" eb="9">
      <t>ゴウケイ</t>
    </rPh>
    <phoneticPr fontId="3"/>
  </si>
  <si>
    <t>サークア合計</t>
    <rPh sb="4" eb="6">
      <t>ゴウケイ</t>
    </rPh>
    <phoneticPr fontId="3"/>
  </si>
  <si>
    <t>UZOU合計</t>
    <rPh sb="4" eb="6">
      <t>ゴウケイ</t>
    </rPh>
    <phoneticPr fontId="3"/>
  </si>
  <si>
    <t>zucks合計</t>
    <rPh sb="5" eb="7">
      <t>ゴウケイ</t>
    </rPh>
    <phoneticPr fontId="3"/>
  </si>
  <si>
    <t>アイモバイル合計</t>
    <rPh sb="6" eb="8">
      <t>ゴウケイ</t>
    </rPh>
    <phoneticPr fontId="3"/>
  </si>
  <si>
    <t>アドネットワーク合計</t>
    <rPh sb="8" eb="10">
      <t>ゴウケイ</t>
    </rPh>
    <phoneticPr fontId="3"/>
  </si>
  <si>
    <t>消化額（税込）</t>
    <rPh sb="4" eb="6">
      <t>ゼイコ</t>
    </rPh>
    <phoneticPr fontId="3"/>
  </si>
  <si>
    <t>アップデート（税別）</t>
    <rPh sb="7" eb="9">
      <t>ゼイベツ</t>
    </rPh>
    <phoneticPr fontId="3"/>
  </si>
  <si>
    <t>ユナイテッド</t>
    <phoneticPr fontId="3"/>
  </si>
  <si>
    <t xml:space="preserve">イークリエーション株式会社 </t>
    <phoneticPr fontId="3"/>
  </si>
  <si>
    <t xml:space="preserve">株式会社メタップスワン </t>
    <phoneticPr fontId="3"/>
  </si>
  <si>
    <t xml:space="preserve">株式会社カラット </t>
    <phoneticPr fontId="3"/>
  </si>
  <si>
    <t xml:space="preserve">株式会社リンクコム </t>
    <phoneticPr fontId="3"/>
  </si>
  <si>
    <t xml:space="preserve">有限会社テクノアルカディア </t>
    <phoneticPr fontId="3"/>
  </si>
  <si>
    <t>アキナジスタ株式会社</t>
    <phoneticPr fontId="3"/>
  </si>
  <si>
    <t>セブンデイズ株式会社</t>
    <phoneticPr fontId="3"/>
  </si>
  <si>
    <t>株式会社ゲシェル</t>
    <phoneticPr fontId="3"/>
  </si>
  <si>
    <t>株式会社BLUE</t>
    <phoneticPr fontId="3"/>
  </si>
  <si>
    <t>株式会社YOURS</t>
    <phoneticPr fontId="3"/>
  </si>
  <si>
    <t>インターワークス株式会社</t>
    <phoneticPr fontId="3"/>
  </si>
  <si>
    <t>株式会社インターディペンデンス</t>
    <phoneticPr fontId="3"/>
  </si>
  <si>
    <t>GMONIKKO株式会社</t>
    <phoneticPr fontId="3"/>
  </si>
  <si>
    <t>株式会社hitokire</t>
    <phoneticPr fontId="3"/>
  </si>
  <si>
    <t>株式会社ネクセル</t>
    <phoneticPr fontId="3"/>
  </si>
  <si>
    <t>株式会社アイエヌネットワーク</t>
    <phoneticPr fontId="3"/>
  </si>
  <si>
    <t>株式会社ADMON</t>
    <phoneticPr fontId="3"/>
  </si>
  <si>
    <t>株式会社COC</t>
    <phoneticPr fontId="3"/>
  </si>
  <si>
    <t>IBGメディア株式会社</t>
    <phoneticPr fontId="3"/>
  </si>
  <si>
    <t>株式会社エムアンドシー</t>
    <phoneticPr fontId="3"/>
  </si>
  <si>
    <t>株式会社アイ・ポイント</t>
    <phoneticPr fontId="3"/>
  </si>
  <si>
    <t>株式会社エムアンドティーティー</t>
    <phoneticPr fontId="3"/>
  </si>
  <si>
    <t>株式会社リアズ</t>
    <phoneticPr fontId="3"/>
  </si>
  <si>
    <t>株式会社Alphakt</t>
    <phoneticPr fontId="3"/>
  </si>
  <si>
    <t>ゴールドウェア株式会社</t>
    <phoneticPr fontId="3"/>
  </si>
  <si>
    <t>株式会社ADC</t>
    <phoneticPr fontId="3"/>
  </si>
  <si>
    <t>株式会社アドバン</t>
    <phoneticPr fontId="3"/>
  </si>
  <si>
    <t>株式会社DELTA</t>
    <phoneticPr fontId="3"/>
  </si>
  <si>
    <t>株式会社Eq</t>
    <phoneticPr fontId="3"/>
  </si>
  <si>
    <t>株式会社SMG</t>
    <phoneticPr fontId="3"/>
  </si>
  <si>
    <t>バリュークリエーション株式会社</t>
    <phoneticPr fontId="3"/>
  </si>
  <si>
    <t>株式会社Nexiv</t>
    <phoneticPr fontId="3"/>
  </si>
  <si>
    <t>合同会社EHB</t>
    <phoneticPr fontId="3"/>
  </si>
  <si>
    <t xml:space="preserve">株式会社グローバルネット </t>
    <phoneticPr fontId="3"/>
  </si>
  <si>
    <t xml:space="preserve">株式会社nexus </t>
    <phoneticPr fontId="3"/>
  </si>
  <si>
    <t>株式会社オプティマエージェンシー</t>
    <phoneticPr fontId="3"/>
  </si>
  <si>
    <t>株式会社SVC</t>
    <phoneticPr fontId="3"/>
  </si>
  <si>
    <t>株式会社YICHA（FANZAコミック）</t>
    <phoneticPr fontId="3"/>
  </si>
  <si>
    <t>株式会社Gプロモーション</t>
    <phoneticPr fontId="3"/>
  </si>
  <si>
    <t xml:space="preserve">株式会社エース </t>
    <phoneticPr fontId="3"/>
  </si>
  <si>
    <t>売上（税込）</t>
    <rPh sb="0" eb="2">
      <t>ウリアゲ</t>
    </rPh>
    <rPh sb="3" eb="5">
      <t>ゼイコ</t>
    </rPh>
    <phoneticPr fontId="3"/>
  </si>
  <si>
    <t>保証枠合計収益</t>
  </si>
  <si>
    <t>一般合計</t>
    <rPh sb="0" eb="2">
      <t>イッパン</t>
    </rPh>
    <rPh sb="2" eb="4">
      <t>ゴウケイ</t>
    </rPh>
    <phoneticPr fontId="3"/>
  </si>
  <si>
    <t>合計</t>
    <rPh sb="0" eb="2">
      <t>ゴウケイ</t>
    </rPh>
    <phoneticPr fontId="3"/>
  </si>
  <si>
    <t>アダルト合計</t>
    <rPh sb="4" eb="6">
      <t>ゴウケイ</t>
    </rPh>
    <phoneticPr fontId="3"/>
  </si>
  <si>
    <t xml:space="preserve"> </t>
    <phoneticPr fontId="3"/>
  </si>
  <si>
    <t>fam8合計</t>
    <rPh sb="4" eb="6">
      <t>ゴウケイ</t>
    </rPh>
    <phoneticPr fontId="3"/>
  </si>
  <si>
    <t>ID</t>
  </si>
  <si>
    <t>広告主名</t>
  </si>
  <si>
    <t>列1</t>
  </si>
  <si>
    <t>代理店名</t>
  </si>
  <si>
    <t>表示率</t>
  </si>
  <si>
    <t>Imp</t>
  </si>
  <si>
    <t>Click</t>
  </si>
  <si>
    <t>CTR</t>
  </si>
  <si>
    <t>CV</t>
  </si>
  <si>
    <t>CVR</t>
  </si>
  <si>
    <t>前日の日付</t>
    <rPh sb="0" eb="2">
      <t>ゼンジツ</t>
    </rPh>
    <rPh sb="3" eb="5">
      <t>ヒヅケ</t>
    </rPh>
    <phoneticPr fontId="3"/>
  </si>
  <si>
    <t>＜使い方＞</t>
    <rPh sb="1" eb="2">
      <t>ツカ</t>
    </rPh>
    <rPh sb="3" eb="4">
      <t>カタ</t>
    </rPh>
    <phoneticPr fontId="3"/>
  </si>
  <si>
    <t>１、広告主レポートをID～ネットのみすべてペースト</t>
    <rPh sb="2" eb="5">
      <t>コウコクヌシ</t>
    </rPh>
    <phoneticPr fontId="3"/>
  </si>
  <si>
    <t>２、ボタンを押す</t>
    <rPh sb="6" eb="7">
      <t>オ</t>
    </rPh>
    <phoneticPr fontId="3"/>
  </si>
  <si>
    <t>３、進捗を記入したい日付を入力（例：4月12日なら12）</t>
    <rPh sb="2" eb="4">
      <t>シンチョク</t>
    </rPh>
    <rPh sb="5" eb="7">
      <t>キニュウ</t>
    </rPh>
    <rPh sb="10" eb="12">
      <t>ヒヅケ</t>
    </rPh>
    <rPh sb="13" eb="15">
      <t>ニュウリョク</t>
    </rPh>
    <rPh sb="16" eb="17">
      <t>レイ</t>
    </rPh>
    <rPh sb="19" eb="20">
      <t>ガツ</t>
    </rPh>
    <rPh sb="22" eb="23">
      <t>ニチ</t>
    </rPh>
    <phoneticPr fontId="3"/>
  </si>
  <si>
    <t>9999_フィングネットワーク広告</t>
    <phoneticPr fontId="3"/>
  </si>
  <si>
    <t>COC運用（税別）</t>
    <rPh sb="3" eb="5">
      <t>ウンヨウ</t>
    </rPh>
    <rPh sb="6" eb="8">
      <t>ゼイベツ</t>
    </rPh>
    <phoneticPr fontId="3"/>
  </si>
  <si>
    <t>COC運用（グロス）</t>
    <rPh sb="3" eb="5">
      <t>ウンヨウ</t>
    </rPh>
    <phoneticPr fontId="3"/>
  </si>
  <si>
    <t>ジーニー</t>
    <phoneticPr fontId="3"/>
  </si>
  <si>
    <t>arrow合計</t>
    <rPh sb="5" eb="7">
      <t>ゴウケイ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</si>
</sst>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¥&quot;#,##0_);[Red]\(&quot;¥&quot;#,##0\)"/>
    <numFmt numFmtId="177" formatCode="&quot;¥&quot;#,##0.00_);[Red]\(&quot;¥&quot;#,##0.00\)"/>
    <numFmt numFmtId="178" formatCode="&quot;¥&quot;#,##0_);\(&quot;¥&quot;#,##0\)"/>
    <numFmt numFmtId="179" formatCode="0_ "/>
    <numFmt numFmtId="180" formatCode="[$¥-411]#,##0;\-[$¥-411]#,##0"/>
    <numFmt numFmtId="181" formatCode="#,##0.00_ "/>
    <numFmt numFmtId="182" formatCode="&quot;¥&quot;#,##0.00_);\(&quot;¥&quot;#,##0.00\)"/>
  </numFmts>
  <fonts count="1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9"/>
      <color rgb="FF666666"/>
      <name val="メイリオ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4" fillId="0" borderId="0"/>
  </cellStyleXfs>
  <cellXfs count="1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2" borderId="0" xfId="0" applyFont="1" applyFill="1" applyAlignment="1">
      <alignment horizontal="center" vertical="center"/>
    </xf>
    <xf numFmtId="0" fontId="5" fillId="3" borderId="2" xfId="0" applyFont="1" applyFill="1" applyBorder="1" applyAlignment="1">
      <alignment horizontal="centerContinuous" vertical="center"/>
    </xf>
    <xf numFmtId="0" fontId="5" fillId="3" borderId="3" xfId="0" applyFont="1" applyFill="1" applyBorder="1" applyAlignment="1">
      <alignment horizontal="centerContinuous" vertical="center"/>
    </xf>
    <xf numFmtId="0" fontId="6" fillId="4" borderId="4" xfId="0" applyFont="1" applyFill="1" applyBorder="1" applyAlignment="1">
      <alignment horizontal="centerContinuous" vertical="center"/>
    </xf>
    <xf numFmtId="0" fontId="6" fillId="4" borderId="5" xfId="0" applyFont="1" applyFill="1" applyBorder="1" applyAlignment="1">
      <alignment horizontal="centerContinuous" vertical="center"/>
    </xf>
    <xf numFmtId="0" fontId="6" fillId="4" borderId="4" xfId="0" applyFont="1" applyFill="1" applyBorder="1" applyAlignment="1">
      <alignment horizontal="centerContinuous" vertical="center" wrapText="1"/>
    </xf>
    <xf numFmtId="0" fontId="2" fillId="2" borderId="1" xfId="0" applyFont="1" applyFill="1" applyBorder="1">
      <alignment vertical="center"/>
    </xf>
    <xf numFmtId="178" fontId="2" fillId="2" borderId="1" xfId="0" applyNumberFormat="1" applyFont="1" applyFill="1" applyBorder="1">
      <alignment vertical="center"/>
    </xf>
    <xf numFmtId="178" fontId="2" fillId="2" borderId="0" xfId="0" applyNumberFormat="1" applyFont="1" applyFill="1">
      <alignment vertical="center"/>
    </xf>
    <xf numFmtId="0" fontId="6" fillId="0" borderId="6" xfId="0" applyFont="1" applyBorder="1">
      <alignment vertical="center"/>
    </xf>
    <xf numFmtId="3" fontId="6" fillId="0" borderId="7" xfId="0" applyNumberFormat="1" applyFont="1" applyBorder="1">
      <alignment vertical="center"/>
    </xf>
    <xf numFmtId="0" fontId="2" fillId="5" borderId="1" xfId="0" applyFont="1" applyFill="1" applyBorder="1">
      <alignment vertical="center"/>
    </xf>
    <xf numFmtId="176" fontId="7" fillId="4" borderId="1" xfId="0" applyNumberFormat="1" applyFont="1" applyFill="1" applyBorder="1">
      <alignment vertical="center"/>
    </xf>
    <xf numFmtId="56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0" fontId="2" fillId="0" borderId="1" xfId="0" applyNumberFormat="1" applyFont="1" applyBorder="1">
      <alignment vertical="center"/>
    </xf>
    <xf numFmtId="38" fontId="2" fillId="6" borderId="1" xfId="1" applyFont="1" applyFill="1" applyBorder="1">
      <alignment vertical="center"/>
    </xf>
    <xf numFmtId="179" fontId="2" fillId="0" borderId="0" xfId="0" applyNumberFormat="1" applyFont="1">
      <alignment vertical="center"/>
    </xf>
    <xf numFmtId="0" fontId="2" fillId="0" borderId="1" xfId="0" applyFont="1" applyBorder="1" applyAlignment="1">
      <alignment horizontal="right" vertical="center"/>
    </xf>
    <xf numFmtId="3" fontId="6" fillId="0" borderId="8" xfId="0" applyNumberFormat="1" applyFont="1" applyBorder="1">
      <alignment vertical="center"/>
    </xf>
    <xf numFmtId="3" fontId="6" fillId="0" borderId="9" xfId="0" applyNumberFormat="1" applyFont="1" applyBorder="1">
      <alignment vertical="center"/>
    </xf>
    <xf numFmtId="176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3" fontId="2" fillId="0" borderId="0" xfId="0" applyNumberFormat="1" applyFont="1">
      <alignment vertical="center"/>
    </xf>
    <xf numFmtId="0" fontId="0" fillId="0" borderId="0" xfId="0" applyAlignment="1"/>
    <xf numFmtId="56" fontId="0" fillId="0" borderId="0" xfId="0" applyNumberFormat="1">
      <alignment vertical="center"/>
    </xf>
    <xf numFmtId="0" fontId="0" fillId="0" borderId="1" xfId="0" applyBorder="1" applyAlignment="1">
      <alignment horizontal="right" vertical="center" wrapText="1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0" fontId="0" fillId="0" borderId="0" xfId="0" applyAlignment="1">
      <alignment horizontal="right" vertical="center" wrapText="1"/>
    </xf>
    <xf numFmtId="3" fontId="0" fillId="0" borderId="1" xfId="0" applyNumberFormat="1" applyBorder="1" applyAlignment="1">
      <alignment horizontal="right" vertical="center" wrapText="1"/>
    </xf>
    <xf numFmtId="3" fontId="0" fillId="0" borderId="0" xfId="0" applyNumberFormat="1" applyAlignment="1">
      <alignment horizontal="right" vertical="center" wrapText="1"/>
    </xf>
    <xf numFmtId="3" fontId="0" fillId="0" borderId="0" xfId="0" applyNumberFormat="1">
      <alignment vertical="center"/>
    </xf>
    <xf numFmtId="178" fontId="2" fillId="0" borderId="1" xfId="0" applyNumberFormat="1" applyFont="1" applyBorder="1" applyAlignment="1">
      <alignment horizontal="right" vertical="center"/>
    </xf>
    <xf numFmtId="0" fontId="0" fillId="9" borderId="1" xfId="0" applyFill="1" applyBorder="1" applyAlignment="1">
      <alignment horizontal="center" vertical="center"/>
    </xf>
    <xf numFmtId="0" fontId="2" fillId="9" borderId="1" xfId="0" applyFont="1" applyFill="1" applyBorder="1">
      <alignment vertical="center"/>
    </xf>
    <xf numFmtId="177" fontId="0" fillId="0" borderId="0" xfId="0" applyNumberFormat="1">
      <alignment vertical="center"/>
    </xf>
    <xf numFmtId="0" fontId="0" fillId="9" borderId="1" xfId="0" applyFill="1" applyBorder="1">
      <alignment vertical="center"/>
    </xf>
    <xf numFmtId="0" fontId="0" fillId="0" borderId="0" xfId="0" applyAlignment="1">
      <alignment vertical="center" wrapText="1"/>
    </xf>
    <xf numFmtId="181" fontId="0" fillId="0" borderId="0" xfId="0" applyNumberFormat="1">
      <alignment vertical="center"/>
    </xf>
    <xf numFmtId="178" fontId="0" fillId="0" borderId="0" xfId="0" applyNumberFormat="1">
      <alignment vertical="center"/>
    </xf>
    <xf numFmtId="182" fontId="0" fillId="0" borderId="0" xfId="0" applyNumberFormat="1">
      <alignment vertical="center"/>
    </xf>
    <xf numFmtId="56" fontId="2" fillId="0" borderId="0" xfId="0" applyNumberFormat="1" applyFont="1">
      <alignment vertical="center"/>
    </xf>
    <xf numFmtId="176" fontId="2" fillId="0" borderId="1" xfId="0" applyNumberFormat="1" applyFont="1" applyBorder="1">
      <alignment vertical="center"/>
    </xf>
    <xf numFmtId="0" fontId="0" fillId="5" borderId="19" xfId="0" applyFill="1" applyBorder="1">
      <alignment vertical="center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6" fontId="0" fillId="0" borderId="0" xfId="0" applyNumberFormat="1" applyAlignment="1">
      <alignment vertical="center" wrapText="1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179" fontId="0" fillId="0" borderId="0" xfId="0" applyNumberFormat="1">
      <alignment vertical="center"/>
    </xf>
    <xf numFmtId="3" fontId="15" fillId="0" borderId="1" xfId="0" applyNumberFormat="1" applyFont="1" applyBorder="1">
      <alignment vertical="center"/>
    </xf>
    <xf numFmtId="177" fontId="0" fillId="0" borderId="0" xfId="0" applyNumberFormat="1" applyAlignment="1">
      <alignment vertical="center" wrapText="1"/>
    </xf>
    <xf numFmtId="176" fontId="9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176" fontId="11" fillId="0" borderId="0" xfId="0" applyNumberFormat="1" applyFont="1" applyAlignment="1">
      <alignment horizontal="right" wrapText="1"/>
    </xf>
    <xf numFmtId="1" fontId="9" fillId="0" borderId="0" xfId="0" applyNumberFormat="1" applyFont="1">
      <alignment vertical="center"/>
    </xf>
    <xf numFmtId="176" fontId="11" fillId="0" borderId="21" xfId="0" applyNumberFormat="1" applyFont="1" applyBorder="1" applyAlignment="1">
      <alignment horizontal="right" wrapText="1"/>
    </xf>
    <xf numFmtId="176" fontId="11" fillId="0" borderId="22" xfId="0" applyNumberFormat="1" applyFont="1" applyBorder="1" applyAlignment="1">
      <alignment horizontal="right" wrapText="1"/>
    </xf>
    <xf numFmtId="176" fontId="11" fillId="0" borderId="23" xfId="0" applyNumberFormat="1" applyFont="1" applyBorder="1" applyAlignment="1">
      <alignment horizontal="right" wrapText="1"/>
    </xf>
    <xf numFmtId="0" fontId="6" fillId="6" borderId="24" xfId="0" applyFont="1" applyFill="1" applyBorder="1">
      <alignment vertical="center"/>
    </xf>
    <xf numFmtId="3" fontId="6" fillId="0" borderId="25" xfId="0" applyNumberFormat="1" applyFont="1" applyBorder="1">
      <alignment vertical="center"/>
    </xf>
    <xf numFmtId="0" fontId="6" fillId="5" borderId="26" xfId="0" applyFont="1" applyFill="1" applyBorder="1">
      <alignment vertical="center"/>
    </xf>
    <xf numFmtId="0" fontId="0" fillId="0" borderId="27" xfId="0" applyBorder="1" applyAlignment="1">
      <alignment horizontal="right" vertical="center" wrapText="1"/>
    </xf>
    <xf numFmtId="0" fontId="0" fillId="0" borderId="28" xfId="0" applyBorder="1" applyAlignment="1">
      <alignment horizontal="right" vertical="center" wrapText="1"/>
    </xf>
    <xf numFmtId="3" fontId="6" fillId="0" borderId="28" xfId="0" applyNumberFormat="1" applyFont="1" applyBorder="1">
      <alignment vertical="center"/>
    </xf>
    <xf numFmtId="3" fontId="6" fillId="0" borderId="29" xfId="0" applyNumberFormat="1" applyFont="1" applyBorder="1">
      <alignment vertical="center"/>
    </xf>
    <xf numFmtId="3" fontId="6" fillId="0" borderId="30" xfId="0" applyNumberFormat="1" applyFont="1" applyBorder="1">
      <alignment vertical="center"/>
    </xf>
    <xf numFmtId="3" fontId="6" fillId="0" borderId="20" xfId="0" applyNumberFormat="1" applyFont="1" applyBorder="1">
      <alignment vertical="center"/>
    </xf>
    <xf numFmtId="0" fontId="6" fillId="6" borderId="18" xfId="0" applyFont="1" applyFill="1" applyBorder="1">
      <alignment vertical="center"/>
    </xf>
    <xf numFmtId="3" fontId="6" fillId="6" borderId="18" xfId="0" applyNumberFormat="1" applyFont="1" applyFill="1" applyBorder="1">
      <alignment vertical="center"/>
    </xf>
    <xf numFmtId="0" fontId="6" fillId="0" borderId="26" xfId="0" applyFont="1" applyBorder="1">
      <alignment vertical="center"/>
    </xf>
    <xf numFmtId="0" fontId="6" fillId="6" borderId="11" xfId="0" applyFont="1" applyFill="1" applyBorder="1">
      <alignment vertical="center"/>
    </xf>
    <xf numFmtId="0" fontId="10" fillId="0" borderId="27" xfId="0" applyFont="1" applyBorder="1" applyAlignment="1">
      <alignment horizontal="right" wrapText="1"/>
    </xf>
    <xf numFmtId="0" fontId="10" fillId="0" borderId="28" xfId="0" applyFont="1" applyBorder="1" applyAlignment="1">
      <alignment horizontal="right" wrapText="1"/>
    </xf>
    <xf numFmtId="3" fontId="0" fillId="0" borderId="28" xfId="0" applyNumberFormat="1" applyBorder="1">
      <alignment vertical="center"/>
    </xf>
    <xf numFmtId="3" fontId="0" fillId="0" borderId="28" xfId="0" applyNumberFormat="1" applyBorder="1" applyAlignment="1">
      <alignment horizontal="right" vertical="center" wrapText="1"/>
    </xf>
    <xf numFmtId="3" fontId="6" fillId="0" borderId="32" xfId="0" applyNumberFormat="1" applyFont="1" applyBorder="1">
      <alignment vertical="center"/>
    </xf>
    <xf numFmtId="3" fontId="0" fillId="0" borderId="27" xfId="0" applyNumberFormat="1" applyBorder="1" applyAlignment="1">
      <alignment horizontal="right" vertical="center" wrapText="1"/>
    </xf>
    <xf numFmtId="3" fontId="10" fillId="0" borderId="28" xfId="0" applyNumberFormat="1" applyFont="1" applyBorder="1" applyAlignment="1">
      <alignment horizontal="right" wrapText="1"/>
    </xf>
    <xf numFmtId="3" fontId="0" fillId="0" borderId="29" xfId="0" applyNumberFormat="1" applyBorder="1" applyAlignment="1">
      <alignment horizontal="right" vertical="center" wrapText="1"/>
    </xf>
    <xf numFmtId="3" fontId="6" fillId="0" borderId="27" xfId="0" applyNumberFormat="1" applyFont="1" applyBorder="1">
      <alignment vertical="center"/>
    </xf>
    <xf numFmtId="0" fontId="6" fillId="0" borderId="31" xfId="0" applyFont="1" applyBorder="1">
      <alignment vertical="center"/>
    </xf>
    <xf numFmtId="3" fontId="6" fillId="0" borderId="33" xfId="0" applyNumberFormat="1" applyFont="1" applyBorder="1">
      <alignment vertical="center"/>
    </xf>
    <xf numFmtId="0" fontId="5" fillId="3" borderId="25" xfId="0" applyFont="1" applyFill="1" applyBorder="1" applyAlignment="1">
      <alignment horizontal="centerContinuous" vertical="center"/>
    </xf>
    <xf numFmtId="0" fontId="5" fillId="3" borderId="34" xfId="0" applyFont="1" applyFill="1" applyBorder="1" applyAlignment="1">
      <alignment horizontal="centerContinuous" vertical="center"/>
    </xf>
    <xf numFmtId="0" fontId="13" fillId="5" borderId="10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2" xfId="0" applyFont="1" applyFill="1" applyBorder="1" applyAlignment="1">
      <alignment horizontal="center" vertical="center"/>
    </xf>
    <xf numFmtId="0" fontId="13" fillId="5" borderId="13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/>
    </xf>
    <xf numFmtId="0" fontId="12" fillId="11" borderId="11" xfId="0" applyFont="1" applyFill="1" applyBorder="1" applyAlignment="1">
      <alignment horizontal="center" vertical="center"/>
    </xf>
    <xf numFmtId="0" fontId="12" fillId="11" borderId="12" xfId="0" applyFont="1" applyFill="1" applyBorder="1" applyAlignment="1">
      <alignment horizontal="center" vertical="center"/>
    </xf>
    <xf numFmtId="0" fontId="12" fillId="11" borderId="13" xfId="0" applyFont="1" applyFill="1" applyBorder="1" applyAlignment="1">
      <alignment horizontal="center" vertical="center"/>
    </xf>
    <xf numFmtId="0" fontId="12" fillId="11" borderId="14" xfId="0" applyFont="1" applyFill="1" applyBorder="1" applyAlignment="1">
      <alignment horizontal="center" vertical="center"/>
    </xf>
    <xf numFmtId="0" fontId="12" fillId="11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10" borderId="13" xfId="0" applyFont="1" applyFill="1" applyBorder="1" applyAlignment="1">
      <alignment horizontal="center" vertical="center"/>
    </xf>
    <xf numFmtId="0" fontId="8" fillId="10" borderId="14" xfId="0" applyFont="1" applyFill="1" applyBorder="1" applyAlignment="1">
      <alignment horizontal="center" vertical="center"/>
    </xf>
    <xf numFmtId="0" fontId="8" fillId="10" borderId="1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44"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  <dxf>
      <font>
        <color rgb="FFFF0000"/>
      </font>
    </dxf>
    <dxf>
      <font>
        <color theme="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942975</xdr:colOff>
          <xdr:row>2</xdr:row>
          <xdr:rowOff>104775</xdr:rowOff>
        </xdr:from>
        <xdr:to>
          <xdr:col>15</xdr:col>
          <xdr:colOff>285750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進捗記入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519"/>
  <sheetViews>
    <sheetView tabSelected="1" workbookViewId="0"/>
  </sheetViews>
  <sheetFormatPr defaultColWidth="12.625" defaultRowHeight="18.75" x14ac:dyDescent="0.4"/>
  <cols>
    <col min="1" max="1" width="10.625" customWidth="1"/>
  </cols>
  <sheetData>
    <row r="1" spans="2:23" ht="19.5" thickBot="1" x14ac:dyDescent="0.45">
      <c r="B1" s="48" t="s">
        <v>88</v>
      </c>
      <c r="C1" s="48" t="s">
        <v>89</v>
      </c>
      <c r="D1" s="48" t="s">
        <v>90</v>
      </c>
      <c r="E1" s="48" t="s">
        <v>91</v>
      </c>
      <c r="F1" s="48" t="s">
        <v>92</v>
      </c>
      <c r="G1" s="48" t="s">
        <v>93</v>
      </c>
      <c r="H1" s="48" t="s">
        <v>94</v>
      </c>
      <c r="I1" s="48" t="s">
        <v>95</v>
      </c>
      <c r="J1" s="48" t="s">
        <v>96</v>
      </c>
      <c r="K1" s="48" t="s">
        <v>97</v>
      </c>
      <c r="L1" s="48" t="s">
        <v>28</v>
      </c>
      <c r="M1" s="48" t="s">
        <v>29</v>
      </c>
    </row>
    <row r="2" spans="2:23" ht="19.5" thickTop="1" x14ac:dyDescent="0.4">
      <c r="F2" s="54"/>
      <c r="I2" s="49"/>
      <c r="K2" s="49"/>
      <c r="N2" s="36"/>
      <c r="O2" s="50" t="s">
        <v>98</v>
      </c>
      <c r="P2" s="50">
        <f ca="1">TODAY()-1</f>
        <v>45792</v>
      </c>
    </row>
    <row r="3" spans="2:23" x14ac:dyDescent="0.4">
      <c r="F3" s="54"/>
      <c r="I3" s="49"/>
      <c r="K3" s="49"/>
      <c r="N3" s="36"/>
    </row>
    <row r="4" spans="2:23" x14ac:dyDescent="0.4">
      <c r="F4" s="54"/>
      <c r="I4" s="49"/>
      <c r="K4" s="49"/>
      <c r="N4" s="36"/>
    </row>
    <row r="5" spans="2:23" x14ac:dyDescent="0.4">
      <c r="F5" s="54"/>
      <c r="I5" s="49"/>
      <c r="K5" s="49"/>
      <c r="N5" s="36"/>
    </row>
    <row r="6" spans="2:23" x14ac:dyDescent="0.4">
      <c r="F6" s="54"/>
      <c r="I6" s="49"/>
      <c r="K6" s="49"/>
      <c r="N6" s="36"/>
    </row>
    <row r="7" spans="2:23" x14ac:dyDescent="0.4">
      <c r="F7" s="54"/>
      <c r="I7" s="49"/>
      <c r="K7" s="49"/>
      <c r="N7" s="36"/>
    </row>
    <row r="8" spans="2:23" x14ac:dyDescent="0.4">
      <c r="F8" s="54"/>
      <c r="I8" s="49"/>
      <c r="K8" s="49"/>
      <c r="N8" s="36"/>
    </row>
    <row r="9" spans="2:23" x14ac:dyDescent="0.4">
      <c r="F9" s="54"/>
      <c r="I9" s="49"/>
      <c r="K9" s="49"/>
      <c r="N9" s="36"/>
    </row>
    <row r="10" spans="2:23" x14ac:dyDescent="0.4">
      <c r="F10" s="54"/>
      <c r="I10" s="49"/>
      <c r="K10" s="49"/>
      <c r="N10" s="36"/>
      <c r="O10" t="s">
        <v>99</v>
      </c>
      <c r="V10">
        <v>0</v>
      </c>
      <c r="W10">
        <v>0</v>
      </c>
    </row>
    <row r="11" spans="2:23" x14ac:dyDescent="0.4">
      <c r="F11" s="54"/>
      <c r="I11" s="49"/>
      <c r="K11" s="49"/>
      <c r="N11" s="36"/>
      <c r="O11" t="s">
        <v>100</v>
      </c>
    </row>
    <row r="12" spans="2:23" x14ac:dyDescent="0.4">
      <c r="F12" s="54"/>
      <c r="I12" s="49"/>
      <c r="K12" s="49"/>
      <c r="N12" s="36"/>
      <c r="O12" t="s">
        <v>101</v>
      </c>
    </row>
    <row r="13" spans="2:23" x14ac:dyDescent="0.4">
      <c r="F13" s="54"/>
      <c r="I13" s="49"/>
      <c r="K13" s="49"/>
      <c r="N13" s="36"/>
      <c r="O13" t="s">
        <v>102</v>
      </c>
    </row>
    <row r="14" spans="2:23" x14ac:dyDescent="0.4">
      <c r="F14" s="54"/>
      <c r="I14" s="49"/>
      <c r="K14" s="49"/>
      <c r="N14" s="36"/>
    </row>
    <row r="15" spans="2:23" x14ac:dyDescent="0.4">
      <c r="F15" s="54"/>
      <c r="I15" s="49"/>
      <c r="K15" s="49"/>
      <c r="N15" s="36"/>
    </row>
    <row r="16" spans="2:23" x14ac:dyDescent="0.4">
      <c r="F16" s="54"/>
      <c r="I16" s="49"/>
      <c r="K16" s="49"/>
      <c r="N16" s="36"/>
    </row>
    <row r="17" spans="6:14" x14ac:dyDescent="0.4">
      <c r="F17" s="54"/>
      <c r="I17" s="49"/>
      <c r="N17" s="36"/>
    </row>
    <row r="18" spans="6:14" x14ac:dyDescent="0.4">
      <c r="F18" s="54"/>
      <c r="I18" s="49"/>
      <c r="K18" s="49"/>
      <c r="N18" s="36"/>
    </row>
    <row r="19" spans="6:14" x14ac:dyDescent="0.4">
      <c r="F19" s="54"/>
      <c r="I19" s="49"/>
      <c r="K19" s="49"/>
      <c r="N19" s="36"/>
    </row>
    <row r="20" spans="6:14" x14ac:dyDescent="0.4">
      <c r="F20" s="54"/>
      <c r="I20" s="49"/>
      <c r="K20" s="49"/>
      <c r="N20" s="36"/>
    </row>
    <row r="21" spans="6:14" x14ac:dyDescent="0.4">
      <c r="F21" s="54"/>
      <c r="I21" s="49"/>
      <c r="K21" s="49"/>
      <c r="N21" s="36"/>
    </row>
    <row r="22" spans="6:14" x14ac:dyDescent="0.4">
      <c r="F22" s="54"/>
      <c r="I22" s="49"/>
      <c r="K22" s="49"/>
      <c r="N22" s="36"/>
    </row>
    <row r="23" spans="6:14" x14ac:dyDescent="0.4">
      <c r="F23" s="54"/>
      <c r="I23" s="49"/>
      <c r="N23" s="36"/>
    </row>
    <row r="24" spans="6:14" x14ac:dyDescent="0.4">
      <c r="F24" s="54"/>
      <c r="I24" s="49"/>
      <c r="K24" s="49"/>
      <c r="N24" s="36"/>
    </row>
    <row r="25" spans="6:14" x14ac:dyDescent="0.4">
      <c r="F25" s="54"/>
      <c r="I25" s="49"/>
      <c r="K25" s="49"/>
      <c r="N25" s="36"/>
    </row>
    <row r="26" spans="6:14" x14ac:dyDescent="0.4">
      <c r="F26" s="54"/>
      <c r="I26" s="49"/>
      <c r="N26" s="36"/>
    </row>
    <row r="27" spans="6:14" x14ac:dyDescent="0.4">
      <c r="F27" s="54"/>
      <c r="I27" s="49"/>
      <c r="K27" s="49"/>
      <c r="N27" s="36"/>
    </row>
    <row r="28" spans="6:14" x14ac:dyDescent="0.4">
      <c r="F28" s="54"/>
      <c r="I28" s="49"/>
      <c r="K28" s="49"/>
      <c r="N28" s="36"/>
    </row>
    <row r="29" spans="6:14" x14ac:dyDescent="0.4">
      <c r="F29" s="54"/>
      <c r="I29" s="49"/>
      <c r="K29" s="49"/>
      <c r="N29" s="36"/>
    </row>
    <row r="30" spans="6:14" x14ac:dyDescent="0.4">
      <c r="F30" s="54"/>
      <c r="I30" s="49"/>
      <c r="K30" s="49"/>
      <c r="N30" s="36"/>
    </row>
    <row r="31" spans="6:14" x14ac:dyDescent="0.4">
      <c r="F31" s="54"/>
      <c r="I31" s="49"/>
      <c r="K31" s="49"/>
    </row>
    <row r="32" spans="6:14" x14ac:dyDescent="0.4">
      <c r="F32" s="54"/>
      <c r="I32" s="49"/>
      <c r="K32" s="49"/>
    </row>
    <row r="33" spans="6:14" x14ac:dyDescent="0.4">
      <c r="F33" s="54"/>
      <c r="I33" s="49"/>
      <c r="K33" s="49"/>
      <c r="N33" s="36"/>
    </row>
    <row r="34" spans="6:14" x14ac:dyDescent="0.4">
      <c r="F34" s="54"/>
      <c r="I34" s="49"/>
      <c r="K34" s="49"/>
    </row>
    <row r="35" spans="6:14" x14ac:dyDescent="0.4">
      <c r="F35" s="54"/>
      <c r="I35" s="49"/>
      <c r="K35" s="49"/>
    </row>
    <row r="36" spans="6:14" x14ac:dyDescent="0.4">
      <c r="F36" s="54"/>
      <c r="I36" s="49"/>
      <c r="K36" s="49"/>
    </row>
    <row r="37" spans="6:14" x14ac:dyDescent="0.4">
      <c r="F37" s="54"/>
      <c r="I37" s="49"/>
      <c r="K37" s="49"/>
    </row>
    <row r="38" spans="6:14" x14ac:dyDescent="0.4">
      <c r="F38" s="54"/>
      <c r="I38" s="49"/>
      <c r="K38" s="49"/>
    </row>
    <row r="39" spans="6:14" x14ac:dyDescent="0.4">
      <c r="F39" s="54"/>
      <c r="I39" s="49"/>
      <c r="K39" s="49"/>
    </row>
    <row r="40" spans="6:14" x14ac:dyDescent="0.4">
      <c r="F40" s="54"/>
      <c r="I40" s="49"/>
      <c r="K40" s="49"/>
    </row>
    <row r="41" spans="6:14" x14ac:dyDescent="0.4">
      <c r="F41" s="54"/>
      <c r="I41" s="49"/>
      <c r="K41" s="49"/>
    </row>
    <row r="42" spans="6:14" x14ac:dyDescent="0.4">
      <c r="F42" s="54"/>
      <c r="I42" s="49"/>
      <c r="K42" s="49"/>
    </row>
    <row r="43" spans="6:14" x14ac:dyDescent="0.4">
      <c r="F43" s="54"/>
      <c r="I43" s="49"/>
      <c r="K43" s="49"/>
    </row>
    <row r="44" spans="6:14" x14ac:dyDescent="0.4">
      <c r="F44" s="54"/>
      <c r="I44" s="49"/>
      <c r="K44" s="49"/>
    </row>
    <row r="45" spans="6:14" x14ac:dyDescent="0.4">
      <c r="F45" s="54"/>
      <c r="I45" s="49"/>
      <c r="K45" s="49"/>
    </row>
    <row r="46" spans="6:14" x14ac:dyDescent="0.4">
      <c r="F46" s="54"/>
      <c r="I46" s="49"/>
      <c r="K46" s="49"/>
    </row>
    <row r="47" spans="6:14" x14ac:dyDescent="0.4">
      <c r="F47" s="54"/>
      <c r="I47" s="49"/>
      <c r="K47" s="49"/>
    </row>
    <row r="48" spans="6:14" x14ac:dyDescent="0.4">
      <c r="F48" s="54"/>
      <c r="I48" s="49"/>
      <c r="K48" s="49"/>
    </row>
    <row r="49" spans="6:11" x14ac:dyDescent="0.4">
      <c r="F49" s="54"/>
      <c r="I49" s="49"/>
      <c r="K49" s="49"/>
    </row>
    <row r="50" spans="6:11" x14ac:dyDescent="0.4">
      <c r="F50" s="54"/>
      <c r="I50" s="49"/>
      <c r="K50" s="49"/>
    </row>
    <row r="51" spans="6:11" x14ac:dyDescent="0.4">
      <c r="F51" s="54"/>
      <c r="I51" s="49"/>
      <c r="K51" s="49"/>
    </row>
    <row r="52" spans="6:11" x14ac:dyDescent="0.4">
      <c r="F52" s="54"/>
      <c r="I52" s="49"/>
      <c r="K52" s="49"/>
    </row>
    <row r="53" spans="6:11" x14ac:dyDescent="0.4">
      <c r="F53" s="54"/>
      <c r="I53" s="49"/>
      <c r="K53" s="49"/>
    </row>
    <row r="54" spans="6:11" x14ac:dyDescent="0.4">
      <c r="F54" s="54"/>
      <c r="I54" s="49"/>
      <c r="K54" s="49"/>
    </row>
    <row r="55" spans="6:11" x14ac:dyDescent="0.4">
      <c r="F55" s="54"/>
      <c r="I55" s="49"/>
      <c r="K55" s="49"/>
    </row>
    <row r="56" spans="6:11" x14ac:dyDescent="0.4">
      <c r="F56" s="54"/>
      <c r="I56" s="49"/>
      <c r="K56" s="49"/>
    </row>
    <row r="57" spans="6:11" x14ac:dyDescent="0.4">
      <c r="F57" s="54"/>
      <c r="I57" s="49"/>
      <c r="K57" s="49"/>
    </row>
    <row r="58" spans="6:11" x14ac:dyDescent="0.4">
      <c r="F58" s="54"/>
      <c r="I58" s="49"/>
      <c r="K58" s="49"/>
    </row>
    <row r="59" spans="6:11" x14ac:dyDescent="0.4">
      <c r="F59" s="54"/>
      <c r="I59" s="49"/>
      <c r="K59" s="49"/>
    </row>
    <row r="60" spans="6:11" x14ac:dyDescent="0.4">
      <c r="F60" s="54"/>
      <c r="I60" s="49"/>
      <c r="K60" s="49"/>
    </row>
    <row r="61" spans="6:11" x14ac:dyDescent="0.4">
      <c r="F61" s="54"/>
      <c r="I61" s="49"/>
      <c r="K61" s="49"/>
    </row>
    <row r="62" spans="6:11" x14ac:dyDescent="0.4">
      <c r="F62" s="54"/>
      <c r="I62" s="49"/>
      <c r="K62" s="49"/>
    </row>
    <row r="63" spans="6:11" x14ac:dyDescent="0.4">
      <c r="F63" s="54"/>
      <c r="I63" s="49"/>
      <c r="K63" s="49"/>
    </row>
    <row r="64" spans="6:11" x14ac:dyDescent="0.4">
      <c r="F64" s="54"/>
      <c r="I64" s="49"/>
      <c r="K64" s="49"/>
    </row>
    <row r="65" spans="6:11" x14ac:dyDescent="0.4">
      <c r="F65" s="54"/>
      <c r="I65" s="49"/>
      <c r="K65" s="49"/>
    </row>
    <row r="66" spans="6:11" x14ac:dyDescent="0.4">
      <c r="F66" s="54"/>
      <c r="I66" s="49"/>
      <c r="K66" s="49"/>
    </row>
    <row r="67" spans="6:11" x14ac:dyDescent="0.4">
      <c r="F67" s="54"/>
      <c r="I67" s="49"/>
      <c r="K67" s="49"/>
    </row>
    <row r="68" spans="6:11" x14ac:dyDescent="0.4">
      <c r="F68" s="54"/>
      <c r="I68" s="49"/>
      <c r="K68" s="49"/>
    </row>
    <row r="69" spans="6:11" x14ac:dyDescent="0.4">
      <c r="F69" s="54"/>
      <c r="I69" s="49"/>
      <c r="K69" s="49"/>
    </row>
    <row r="70" spans="6:11" x14ac:dyDescent="0.4">
      <c r="F70" s="54"/>
      <c r="I70" s="49"/>
      <c r="K70" s="49"/>
    </row>
    <row r="71" spans="6:11" x14ac:dyDescent="0.4">
      <c r="F71" s="54"/>
      <c r="I71" s="49"/>
      <c r="K71" s="49"/>
    </row>
    <row r="72" spans="6:11" x14ac:dyDescent="0.4">
      <c r="F72" s="54"/>
      <c r="I72" s="49"/>
      <c r="K72" s="49"/>
    </row>
    <row r="73" spans="6:11" x14ac:dyDescent="0.4">
      <c r="F73" s="54"/>
      <c r="I73" s="49"/>
      <c r="K73" s="49"/>
    </row>
    <row r="74" spans="6:11" x14ac:dyDescent="0.4">
      <c r="F74" s="54"/>
      <c r="I74" s="49"/>
      <c r="K74" s="49"/>
    </row>
    <row r="75" spans="6:11" x14ac:dyDescent="0.4">
      <c r="F75" s="54"/>
      <c r="I75" s="49"/>
      <c r="K75" s="49"/>
    </row>
    <row r="76" spans="6:11" x14ac:dyDescent="0.4">
      <c r="F76" s="54"/>
      <c r="I76" s="49"/>
      <c r="K76" s="49"/>
    </row>
    <row r="77" spans="6:11" x14ac:dyDescent="0.4">
      <c r="F77" s="54"/>
      <c r="I77" s="49"/>
      <c r="K77" s="49"/>
    </row>
    <row r="78" spans="6:11" x14ac:dyDescent="0.4">
      <c r="F78" s="54"/>
      <c r="I78" s="49"/>
      <c r="K78" s="49"/>
    </row>
    <row r="79" spans="6:11" x14ac:dyDescent="0.4">
      <c r="F79" s="54"/>
      <c r="I79" s="49"/>
      <c r="K79" s="49"/>
    </row>
    <row r="80" spans="6:11" x14ac:dyDescent="0.4">
      <c r="F80" s="54"/>
      <c r="I80" s="49"/>
      <c r="K80" s="49"/>
    </row>
    <row r="81" spans="6:11" x14ac:dyDescent="0.4">
      <c r="F81" s="54"/>
      <c r="I81" s="49"/>
      <c r="K81" s="49"/>
    </row>
    <row r="82" spans="6:11" x14ac:dyDescent="0.4">
      <c r="F82" s="54"/>
      <c r="I82" s="49"/>
      <c r="K82" s="49"/>
    </row>
    <row r="83" spans="6:11" x14ac:dyDescent="0.4">
      <c r="F83" s="54"/>
      <c r="I83" s="49"/>
      <c r="K83" s="49"/>
    </row>
    <row r="84" spans="6:11" x14ac:dyDescent="0.4">
      <c r="F84" s="54"/>
      <c r="I84" s="49"/>
      <c r="K84" s="49"/>
    </row>
    <row r="85" spans="6:11" x14ac:dyDescent="0.4">
      <c r="F85" s="54"/>
      <c r="I85" s="49"/>
      <c r="K85" s="49"/>
    </row>
    <row r="86" spans="6:11" x14ac:dyDescent="0.4">
      <c r="F86" s="54"/>
      <c r="I86" s="49"/>
      <c r="K86" s="49"/>
    </row>
    <row r="87" spans="6:11" x14ac:dyDescent="0.4">
      <c r="F87" s="54"/>
      <c r="I87" s="49"/>
      <c r="K87" s="49"/>
    </row>
    <row r="88" spans="6:11" x14ac:dyDescent="0.4">
      <c r="F88" s="54"/>
      <c r="I88" s="49"/>
      <c r="K88" s="49"/>
    </row>
    <row r="89" spans="6:11" x14ac:dyDescent="0.4">
      <c r="F89" s="54"/>
      <c r="I89" s="49"/>
      <c r="K89" s="49"/>
    </row>
    <row r="90" spans="6:11" x14ac:dyDescent="0.4">
      <c r="F90" s="54"/>
      <c r="I90" s="49"/>
      <c r="K90" s="49"/>
    </row>
    <row r="91" spans="6:11" x14ac:dyDescent="0.4">
      <c r="F91" s="54"/>
      <c r="I91" s="49"/>
      <c r="K91" s="49"/>
    </row>
    <row r="92" spans="6:11" x14ac:dyDescent="0.4">
      <c r="F92" s="54"/>
      <c r="I92" s="49"/>
      <c r="K92" s="49"/>
    </row>
    <row r="93" spans="6:11" x14ac:dyDescent="0.4">
      <c r="F93" s="54"/>
      <c r="I93" s="49"/>
      <c r="K93" s="49"/>
    </row>
    <row r="94" spans="6:11" x14ac:dyDescent="0.4">
      <c r="F94" s="54"/>
      <c r="I94" s="49"/>
      <c r="K94" s="49"/>
    </row>
    <row r="95" spans="6:11" x14ac:dyDescent="0.4">
      <c r="F95" s="54"/>
      <c r="I95" s="49"/>
      <c r="K95" s="49"/>
    </row>
    <row r="96" spans="6:11" x14ac:dyDescent="0.4">
      <c r="F96" s="54"/>
      <c r="I96" s="49"/>
      <c r="K96" s="49"/>
    </row>
    <row r="97" spans="6:11" x14ac:dyDescent="0.4">
      <c r="F97" s="54"/>
      <c r="I97" s="49"/>
      <c r="K97" s="49"/>
    </row>
    <row r="98" spans="6:11" x14ac:dyDescent="0.4">
      <c r="F98" s="54"/>
      <c r="I98" s="49"/>
      <c r="K98" s="49"/>
    </row>
    <row r="99" spans="6:11" x14ac:dyDescent="0.4">
      <c r="F99" s="54"/>
      <c r="I99" s="49"/>
      <c r="K99" s="49"/>
    </row>
    <row r="100" spans="6:11" x14ac:dyDescent="0.4">
      <c r="F100" s="54"/>
      <c r="I100" s="49"/>
      <c r="K100" s="49"/>
    </row>
    <row r="101" spans="6:11" x14ac:dyDescent="0.4">
      <c r="F101" s="54"/>
      <c r="I101" s="49"/>
      <c r="K101" s="49"/>
    </row>
    <row r="102" spans="6:11" x14ac:dyDescent="0.4">
      <c r="F102" s="54"/>
      <c r="I102" s="49"/>
      <c r="K102" s="49"/>
    </row>
    <row r="103" spans="6:11" x14ac:dyDescent="0.4">
      <c r="F103" s="54"/>
      <c r="I103" s="49"/>
      <c r="K103" s="49"/>
    </row>
    <row r="104" spans="6:11" x14ac:dyDescent="0.4">
      <c r="F104" s="54"/>
      <c r="I104" s="49"/>
      <c r="K104" s="49"/>
    </row>
    <row r="105" spans="6:11" x14ac:dyDescent="0.4">
      <c r="F105" s="54"/>
      <c r="I105" s="49"/>
      <c r="K105" s="49"/>
    </row>
    <row r="106" spans="6:11" x14ac:dyDescent="0.4">
      <c r="F106" s="54"/>
      <c r="I106" s="49"/>
      <c r="K106" s="49"/>
    </row>
    <row r="107" spans="6:11" x14ac:dyDescent="0.4">
      <c r="F107" s="54"/>
      <c r="I107" s="49"/>
      <c r="K107" s="49"/>
    </row>
    <row r="108" spans="6:11" x14ac:dyDescent="0.4">
      <c r="F108" s="54"/>
      <c r="I108" s="49"/>
      <c r="K108" s="49"/>
    </row>
    <row r="109" spans="6:11" x14ac:dyDescent="0.4">
      <c r="F109" s="54"/>
      <c r="I109" s="49"/>
      <c r="K109" s="49"/>
    </row>
    <row r="110" spans="6:11" x14ac:dyDescent="0.4">
      <c r="F110" s="54"/>
      <c r="I110" s="49"/>
      <c r="K110" s="49"/>
    </row>
    <row r="111" spans="6:11" x14ac:dyDescent="0.4">
      <c r="F111" s="54"/>
      <c r="I111" s="49"/>
      <c r="K111" s="49"/>
    </row>
    <row r="112" spans="6:11" x14ac:dyDescent="0.4">
      <c r="F112" s="54"/>
      <c r="I112" s="49"/>
      <c r="K112" s="49"/>
    </row>
    <row r="113" spans="6:11" x14ac:dyDescent="0.4">
      <c r="F113" s="54"/>
      <c r="I113" s="49"/>
      <c r="K113" s="49"/>
    </row>
    <row r="114" spans="6:11" x14ac:dyDescent="0.4">
      <c r="F114" s="54"/>
      <c r="I114" s="49"/>
      <c r="K114" s="49"/>
    </row>
    <row r="115" spans="6:11" x14ac:dyDescent="0.4">
      <c r="F115" s="54"/>
      <c r="I115" s="49"/>
      <c r="K115" s="49"/>
    </row>
    <row r="116" spans="6:11" x14ac:dyDescent="0.4">
      <c r="F116" s="54"/>
      <c r="I116" s="49"/>
      <c r="K116" s="49"/>
    </row>
    <row r="117" spans="6:11" x14ac:dyDescent="0.4">
      <c r="F117" s="54"/>
      <c r="I117" s="49"/>
      <c r="K117" s="49"/>
    </row>
    <row r="118" spans="6:11" x14ac:dyDescent="0.4">
      <c r="F118" s="54"/>
      <c r="I118" s="49"/>
      <c r="K118" s="49"/>
    </row>
    <row r="119" spans="6:11" x14ac:dyDescent="0.4">
      <c r="F119" s="54"/>
      <c r="I119" s="49"/>
      <c r="K119" s="49"/>
    </row>
    <row r="120" spans="6:11" x14ac:dyDescent="0.4">
      <c r="F120" s="54"/>
      <c r="I120" s="49"/>
      <c r="K120" s="49"/>
    </row>
    <row r="121" spans="6:11" x14ac:dyDescent="0.4">
      <c r="F121" s="54"/>
      <c r="I121" s="49"/>
      <c r="K121" s="49"/>
    </row>
    <row r="122" spans="6:11" x14ac:dyDescent="0.4">
      <c r="F122" s="54"/>
      <c r="I122" s="49"/>
      <c r="K122" s="49"/>
    </row>
    <row r="123" spans="6:11" x14ac:dyDescent="0.4">
      <c r="F123" s="54"/>
      <c r="I123" s="49"/>
      <c r="K123" s="49"/>
    </row>
    <row r="124" spans="6:11" x14ac:dyDescent="0.4">
      <c r="F124" s="54"/>
      <c r="I124" s="49"/>
      <c r="K124" s="49"/>
    </row>
    <row r="125" spans="6:11" x14ac:dyDescent="0.4">
      <c r="F125" s="54"/>
      <c r="I125" s="49"/>
      <c r="K125" s="49"/>
    </row>
    <row r="126" spans="6:11" x14ac:dyDescent="0.4">
      <c r="F126" s="54"/>
      <c r="I126" s="49"/>
      <c r="K126" s="49"/>
    </row>
    <row r="127" spans="6:11" x14ac:dyDescent="0.4">
      <c r="F127" s="54"/>
      <c r="I127" s="49"/>
      <c r="K127" s="49"/>
    </row>
    <row r="128" spans="6:11" x14ac:dyDescent="0.4">
      <c r="F128" s="54"/>
      <c r="I128" s="49"/>
      <c r="K128" s="49"/>
    </row>
    <row r="129" spans="6:11" x14ac:dyDescent="0.4">
      <c r="F129" s="54"/>
      <c r="I129" s="49"/>
      <c r="K129" s="49"/>
    </row>
    <row r="130" spans="6:11" x14ac:dyDescent="0.4">
      <c r="F130" s="54"/>
      <c r="I130" s="49"/>
      <c r="K130" s="49"/>
    </row>
    <row r="131" spans="6:11" x14ac:dyDescent="0.4">
      <c r="F131" s="54"/>
      <c r="I131" s="49"/>
      <c r="K131" s="49"/>
    </row>
    <row r="132" spans="6:11" x14ac:dyDescent="0.4">
      <c r="F132" s="54"/>
      <c r="I132" s="49"/>
      <c r="K132" s="49"/>
    </row>
    <row r="133" spans="6:11" x14ac:dyDescent="0.4">
      <c r="F133" s="54"/>
      <c r="I133" s="49"/>
      <c r="K133" s="49"/>
    </row>
    <row r="134" spans="6:11" x14ac:dyDescent="0.4">
      <c r="F134" s="54"/>
      <c r="I134" s="49"/>
      <c r="K134" s="49"/>
    </row>
    <row r="135" spans="6:11" x14ac:dyDescent="0.4">
      <c r="F135" s="54"/>
      <c r="I135" s="49"/>
      <c r="K135" s="49"/>
    </row>
    <row r="136" spans="6:11" x14ac:dyDescent="0.4">
      <c r="F136" s="54"/>
      <c r="I136" s="49"/>
      <c r="K136" s="49"/>
    </row>
    <row r="137" spans="6:11" x14ac:dyDescent="0.4">
      <c r="F137" s="54"/>
      <c r="I137" s="49"/>
      <c r="K137" s="49"/>
    </row>
    <row r="138" spans="6:11" x14ac:dyDescent="0.4">
      <c r="F138" s="54"/>
      <c r="I138" s="49"/>
      <c r="K138" s="49"/>
    </row>
    <row r="139" spans="6:11" x14ac:dyDescent="0.4">
      <c r="F139" s="54"/>
      <c r="I139" s="49"/>
      <c r="K139" s="49"/>
    </row>
    <row r="140" spans="6:11" x14ac:dyDescent="0.4">
      <c r="F140" s="54"/>
      <c r="I140" s="49"/>
      <c r="K140" s="49"/>
    </row>
    <row r="141" spans="6:11" x14ac:dyDescent="0.4">
      <c r="F141" s="54"/>
      <c r="I141" s="49"/>
      <c r="K141" s="49"/>
    </row>
    <row r="142" spans="6:11" x14ac:dyDescent="0.4">
      <c r="F142" s="54"/>
      <c r="I142" s="49"/>
      <c r="K142" s="49"/>
    </row>
    <row r="143" spans="6:11" x14ac:dyDescent="0.4">
      <c r="F143" s="54"/>
      <c r="I143" s="49"/>
      <c r="K143" s="49"/>
    </row>
    <row r="144" spans="6:11" x14ac:dyDescent="0.4">
      <c r="F144" s="54"/>
      <c r="I144" s="49"/>
      <c r="K144" s="49"/>
    </row>
    <row r="145" spans="6:11" x14ac:dyDescent="0.4">
      <c r="F145" s="54"/>
      <c r="I145" s="49"/>
      <c r="K145" s="49"/>
    </row>
    <row r="146" spans="6:11" x14ac:dyDescent="0.4">
      <c r="F146" s="54"/>
      <c r="I146" s="49"/>
      <c r="K146" s="49"/>
    </row>
    <row r="147" spans="6:11" x14ac:dyDescent="0.4">
      <c r="F147" s="54"/>
      <c r="I147" s="49"/>
      <c r="K147" s="49"/>
    </row>
    <row r="148" spans="6:11" x14ac:dyDescent="0.4">
      <c r="F148" s="54"/>
      <c r="I148" s="49"/>
      <c r="K148" s="49"/>
    </row>
    <row r="149" spans="6:11" x14ac:dyDescent="0.4">
      <c r="F149" s="54"/>
      <c r="I149" s="49"/>
      <c r="K149" s="49"/>
    </row>
    <row r="150" spans="6:11" x14ac:dyDescent="0.4">
      <c r="F150" s="54"/>
      <c r="I150" s="49"/>
      <c r="K150" s="49"/>
    </row>
    <row r="151" spans="6:11" x14ac:dyDescent="0.4">
      <c r="F151" s="54"/>
      <c r="I151" s="49"/>
      <c r="K151" s="49"/>
    </row>
    <row r="152" spans="6:11" x14ac:dyDescent="0.4">
      <c r="F152" s="54"/>
      <c r="I152" s="49"/>
      <c r="K152" s="49"/>
    </row>
    <row r="153" spans="6:11" x14ac:dyDescent="0.4">
      <c r="F153" s="54"/>
      <c r="I153" s="49"/>
      <c r="K153" s="49"/>
    </row>
    <row r="154" spans="6:11" x14ac:dyDescent="0.4">
      <c r="F154" s="54"/>
      <c r="I154" s="49"/>
      <c r="K154" s="49"/>
    </row>
    <row r="155" spans="6:11" x14ac:dyDescent="0.4">
      <c r="F155" s="54"/>
      <c r="I155" s="49"/>
      <c r="K155" s="49"/>
    </row>
    <row r="156" spans="6:11" x14ac:dyDescent="0.4">
      <c r="F156" s="54"/>
      <c r="I156" s="49"/>
      <c r="K156" s="49"/>
    </row>
    <row r="157" spans="6:11" x14ac:dyDescent="0.4">
      <c r="F157" s="54"/>
      <c r="I157" s="49"/>
      <c r="K157" s="49"/>
    </row>
    <row r="158" spans="6:11" x14ac:dyDescent="0.4">
      <c r="F158" s="54"/>
      <c r="I158" s="49"/>
      <c r="K158" s="49"/>
    </row>
    <row r="159" spans="6:11" x14ac:dyDescent="0.4">
      <c r="F159" s="54"/>
      <c r="I159" s="49"/>
      <c r="K159" s="49"/>
    </row>
    <row r="160" spans="6:11" x14ac:dyDescent="0.4">
      <c r="F160" s="54"/>
      <c r="I160" s="49"/>
      <c r="K160" s="49"/>
    </row>
    <row r="161" spans="6:11" x14ac:dyDescent="0.4">
      <c r="F161" s="54"/>
      <c r="I161" s="49"/>
      <c r="K161" s="49"/>
    </row>
    <row r="162" spans="6:11" x14ac:dyDescent="0.4">
      <c r="F162" s="54"/>
      <c r="I162" s="49"/>
      <c r="K162" s="49"/>
    </row>
    <row r="163" spans="6:11" x14ac:dyDescent="0.4">
      <c r="F163" s="54"/>
      <c r="I163" s="49"/>
      <c r="K163" s="49"/>
    </row>
    <row r="164" spans="6:11" x14ac:dyDescent="0.4">
      <c r="F164" s="54"/>
      <c r="I164" s="49"/>
      <c r="K164" s="49"/>
    </row>
    <row r="165" spans="6:11" x14ac:dyDescent="0.4">
      <c r="F165" s="54"/>
      <c r="I165" s="49"/>
      <c r="K165" s="49"/>
    </row>
    <row r="166" spans="6:11" x14ac:dyDescent="0.4">
      <c r="F166" s="54"/>
      <c r="I166" s="49"/>
      <c r="K166" s="49"/>
    </row>
    <row r="167" spans="6:11" x14ac:dyDescent="0.4">
      <c r="F167" s="54"/>
      <c r="I167" s="49"/>
      <c r="K167" s="49"/>
    </row>
    <row r="168" spans="6:11" x14ac:dyDescent="0.4">
      <c r="F168" s="54"/>
      <c r="I168" s="49"/>
      <c r="K168" s="49"/>
    </row>
    <row r="169" spans="6:11" x14ac:dyDescent="0.4">
      <c r="F169" s="54"/>
      <c r="I169" s="49"/>
      <c r="K169" s="49"/>
    </row>
    <row r="170" spans="6:11" x14ac:dyDescent="0.4">
      <c r="F170" s="54"/>
      <c r="I170" s="49"/>
      <c r="K170" s="49"/>
    </row>
    <row r="171" spans="6:11" x14ac:dyDescent="0.4">
      <c r="F171" s="54"/>
      <c r="I171" s="49"/>
      <c r="K171" s="49"/>
    </row>
    <row r="172" spans="6:11" x14ac:dyDescent="0.4">
      <c r="F172" s="54"/>
      <c r="I172" s="49"/>
      <c r="K172" s="49"/>
    </row>
    <row r="173" spans="6:11" x14ac:dyDescent="0.4">
      <c r="F173" s="54"/>
      <c r="I173" s="49"/>
      <c r="K173" s="49"/>
    </row>
    <row r="174" spans="6:11" x14ac:dyDescent="0.4">
      <c r="F174" s="54"/>
      <c r="I174" s="49"/>
      <c r="K174" s="49"/>
    </row>
    <row r="175" spans="6:11" x14ac:dyDescent="0.4">
      <c r="F175" s="54"/>
      <c r="I175" s="49"/>
      <c r="K175" s="49"/>
    </row>
    <row r="176" spans="6:11" x14ac:dyDescent="0.4">
      <c r="F176" s="54"/>
      <c r="I176" s="49"/>
      <c r="K176" s="49"/>
    </row>
    <row r="177" spans="6:11" x14ac:dyDescent="0.4">
      <c r="F177" s="54"/>
      <c r="I177" s="49"/>
      <c r="K177" s="49"/>
    </row>
    <row r="178" spans="6:11" x14ac:dyDescent="0.4">
      <c r="F178" s="54"/>
      <c r="I178" s="49"/>
      <c r="K178" s="49"/>
    </row>
    <row r="179" spans="6:11" x14ac:dyDescent="0.4">
      <c r="F179" s="54"/>
      <c r="I179" s="49"/>
      <c r="K179" s="49"/>
    </row>
    <row r="180" spans="6:11" x14ac:dyDescent="0.4">
      <c r="F180" s="54"/>
      <c r="I180" s="49"/>
      <c r="K180" s="49"/>
    </row>
    <row r="181" spans="6:11" x14ac:dyDescent="0.4">
      <c r="F181" s="54"/>
      <c r="I181" s="49"/>
      <c r="K181" s="49"/>
    </row>
    <row r="182" spans="6:11" x14ac:dyDescent="0.4">
      <c r="F182" s="54"/>
      <c r="I182" s="49"/>
      <c r="K182" s="49"/>
    </row>
    <row r="183" spans="6:11" x14ac:dyDescent="0.4">
      <c r="F183" s="54"/>
      <c r="I183" s="49"/>
      <c r="K183" s="49"/>
    </row>
    <row r="184" spans="6:11" x14ac:dyDescent="0.4">
      <c r="F184" s="54"/>
      <c r="I184" s="49"/>
      <c r="K184" s="49"/>
    </row>
    <row r="185" spans="6:11" x14ac:dyDescent="0.4">
      <c r="F185" s="54"/>
      <c r="I185" s="49"/>
      <c r="K185" s="49"/>
    </row>
    <row r="186" spans="6:11" x14ac:dyDescent="0.4">
      <c r="F186" s="54"/>
      <c r="I186" s="49"/>
      <c r="K186" s="49"/>
    </row>
    <row r="187" spans="6:11" x14ac:dyDescent="0.4">
      <c r="F187" s="54"/>
      <c r="I187" s="49"/>
      <c r="K187" s="49"/>
    </row>
    <row r="188" spans="6:11" x14ac:dyDescent="0.4">
      <c r="F188" s="54"/>
      <c r="I188" s="49"/>
      <c r="K188" s="49"/>
    </row>
    <row r="189" spans="6:11" x14ac:dyDescent="0.4">
      <c r="F189" s="54"/>
      <c r="I189" s="49"/>
      <c r="K189" s="49"/>
    </row>
    <row r="190" spans="6:11" x14ac:dyDescent="0.4">
      <c r="F190" s="54"/>
      <c r="I190" s="49"/>
      <c r="K190" s="49"/>
    </row>
    <row r="191" spans="6:11" x14ac:dyDescent="0.4">
      <c r="F191" s="54"/>
      <c r="I191" s="49"/>
      <c r="K191" s="49"/>
    </row>
    <row r="192" spans="6:11" x14ac:dyDescent="0.4">
      <c r="F192" s="54"/>
      <c r="I192" s="49"/>
      <c r="K192" s="49"/>
    </row>
    <row r="193" spans="6:11" x14ac:dyDescent="0.4">
      <c r="F193" s="54"/>
      <c r="I193" s="49"/>
      <c r="K193" s="49"/>
    </row>
    <row r="194" spans="6:11" x14ac:dyDescent="0.4">
      <c r="F194" s="54"/>
      <c r="I194" s="49"/>
      <c r="K194" s="49"/>
    </row>
    <row r="195" spans="6:11" x14ac:dyDescent="0.4">
      <c r="F195" s="54"/>
      <c r="I195" s="49"/>
      <c r="K195" s="49"/>
    </row>
    <row r="196" spans="6:11" x14ac:dyDescent="0.4">
      <c r="F196" s="54"/>
      <c r="I196" s="49"/>
      <c r="K196" s="49"/>
    </row>
    <row r="197" spans="6:11" x14ac:dyDescent="0.4">
      <c r="F197" s="54"/>
      <c r="I197" s="49"/>
      <c r="K197" s="49"/>
    </row>
    <row r="198" spans="6:11" x14ac:dyDescent="0.4">
      <c r="F198" s="54"/>
      <c r="I198" s="49"/>
      <c r="K198" s="49"/>
    </row>
    <row r="199" spans="6:11" x14ac:dyDescent="0.4">
      <c r="F199" s="54"/>
      <c r="I199" s="49"/>
      <c r="K199" s="49"/>
    </row>
    <row r="200" spans="6:11" x14ac:dyDescent="0.4">
      <c r="F200" s="54"/>
      <c r="I200" s="49"/>
      <c r="K200" s="49"/>
    </row>
    <row r="201" spans="6:11" x14ac:dyDescent="0.4">
      <c r="F201" s="54"/>
      <c r="I201" s="49"/>
      <c r="K201" s="49"/>
    </row>
    <row r="202" spans="6:11" x14ac:dyDescent="0.4">
      <c r="F202" s="54"/>
      <c r="I202" s="49"/>
      <c r="K202" s="49"/>
    </row>
    <row r="203" spans="6:11" x14ac:dyDescent="0.4">
      <c r="F203" s="54"/>
      <c r="I203" s="49"/>
      <c r="K203" s="49"/>
    </row>
    <row r="204" spans="6:11" x14ac:dyDescent="0.4">
      <c r="F204" s="54"/>
      <c r="I204" s="49"/>
      <c r="K204" s="49"/>
    </row>
    <row r="205" spans="6:11" x14ac:dyDescent="0.4">
      <c r="F205" s="54"/>
      <c r="I205" s="49"/>
      <c r="K205" s="49"/>
    </row>
    <row r="206" spans="6:11" x14ac:dyDescent="0.4">
      <c r="F206" s="54"/>
      <c r="I206" s="49"/>
      <c r="K206" s="49"/>
    </row>
    <row r="207" spans="6:11" x14ac:dyDescent="0.4">
      <c r="F207" s="54"/>
      <c r="I207" s="49"/>
      <c r="K207" s="49"/>
    </row>
    <row r="208" spans="6:11" x14ac:dyDescent="0.4">
      <c r="F208" s="54"/>
      <c r="I208" s="49"/>
      <c r="K208" s="49"/>
    </row>
    <row r="209" spans="6:11" x14ac:dyDescent="0.4">
      <c r="F209" s="54"/>
      <c r="I209" s="49"/>
      <c r="K209" s="49"/>
    </row>
    <row r="210" spans="6:11" x14ac:dyDescent="0.4">
      <c r="F210" s="54"/>
      <c r="I210" s="49"/>
      <c r="K210" s="49"/>
    </row>
    <row r="211" spans="6:11" x14ac:dyDescent="0.4">
      <c r="F211" s="54"/>
      <c r="I211" s="49"/>
      <c r="K211" s="49"/>
    </row>
    <row r="212" spans="6:11" x14ac:dyDescent="0.4">
      <c r="F212" s="54"/>
      <c r="I212" s="49"/>
      <c r="K212" s="49"/>
    </row>
    <row r="213" spans="6:11" x14ac:dyDescent="0.4">
      <c r="F213" s="54"/>
      <c r="I213" s="49"/>
      <c r="K213" s="49"/>
    </row>
    <row r="214" spans="6:11" x14ac:dyDescent="0.4">
      <c r="F214" s="54"/>
      <c r="I214" s="49"/>
      <c r="K214" s="49"/>
    </row>
    <row r="215" spans="6:11" x14ac:dyDescent="0.4">
      <c r="F215" s="54"/>
      <c r="I215" s="49"/>
      <c r="K215" s="49"/>
    </row>
    <row r="216" spans="6:11" x14ac:dyDescent="0.4">
      <c r="F216" s="54"/>
      <c r="I216" s="49"/>
      <c r="K216" s="49"/>
    </row>
    <row r="217" spans="6:11" x14ac:dyDescent="0.4">
      <c r="F217" s="54"/>
      <c r="I217" s="49"/>
      <c r="K217" s="49"/>
    </row>
    <row r="218" spans="6:11" x14ac:dyDescent="0.4">
      <c r="F218" s="54"/>
      <c r="I218" s="49"/>
      <c r="K218" s="49"/>
    </row>
    <row r="219" spans="6:11" x14ac:dyDescent="0.4">
      <c r="F219" s="54"/>
      <c r="I219" s="49"/>
      <c r="K219" s="49"/>
    </row>
    <row r="220" spans="6:11" x14ac:dyDescent="0.4">
      <c r="F220" s="54"/>
      <c r="I220" s="49"/>
      <c r="K220" s="49"/>
    </row>
    <row r="221" spans="6:11" x14ac:dyDescent="0.4">
      <c r="F221" s="54"/>
      <c r="I221" s="49"/>
      <c r="K221" s="49"/>
    </row>
    <row r="222" spans="6:11" x14ac:dyDescent="0.4">
      <c r="F222" s="54"/>
      <c r="I222" s="49"/>
      <c r="K222" s="49"/>
    </row>
    <row r="223" spans="6:11" x14ac:dyDescent="0.4">
      <c r="F223" s="54"/>
      <c r="I223" s="49"/>
      <c r="K223" s="49"/>
    </row>
    <row r="224" spans="6:11" x14ac:dyDescent="0.4">
      <c r="F224" s="54"/>
      <c r="I224" s="49"/>
      <c r="K224" s="49"/>
    </row>
    <row r="225" spans="6:11" x14ac:dyDescent="0.4">
      <c r="F225" s="54"/>
      <c r="I225" s="49"/>
      <c r="K225" s="49"/>
    </row>
    <row r="226" spans="6:11" x14ac:dyDescent="0.4">
      <c r="F226" s="54"/>
      <c r="I226" s="49"/>
      <c r="K226" s="49"/>
    </row>
    <row r="227" spans="6:11" x14ac:dyDescent="0.4">
      <c r="F227" s="54"/>
      <c r="I227" s="49"/>
      <c r="K227" s="49"/>
    </row>
    <row r="228" spans="6:11" x14ac:dyDescent="0.4">
      <c r="F228" s="54"/>
      <c r="I228" s="49"/>
      <c r="K228" s="49"/>
    </row>
    <row r="229" spans="6:11" x14ac:dyDescent="0.4">
      <c r="F229" s="54"/>
      <c r="I229" s="49"/>
      <c r="K229" s="49"/>
    </row>
    <row r="230" spans="6:11" x14ac:dyDescent="0.4">
      <c r="F230" s="54"/>
      <c r="I230" s="49"/>
      <c r="K230" s="49"/>
    </row>
    <row r="231" spans="6:11" x14ac:dyDescent="0.4">
      <c r="F231" s="54"/>
      <c r="I231" s="49"/>
      <c r="K231" s="49"/>
    </row>
    <row r="232" spans="6:11" x14ac:dyDescent="0.4">
      <c r="F232" s="54"/>
      <c r="I232" s="49"/>
      <c r="K232" s="49"/>
    </row>
    <row r="233" spans="6:11" x14ac:dyDescent="0.4">
      <c r="F233" s="54"/>
      <c r="I233" s="49"/>
      <c r="K233" s="49"/>
    </row>
    <row r="234" spans="6:11" x14ac:dyDescent="0.4">
      <c r="F234" s="54"/>
      <c r="I234" s="49"/>
      <c r="K234" s="49"/>
    </row>
    <row r="235" spans="6:11" x14ac:dyDescent="0.4">
      <c r="F235" s="54"/>
      <c r="I235" s="49"/>
      <c r="K235" s="49"/>
    </row>
    <row r="236" spans="6:11" x14ac:dyDescent="0.4">
      <c r="F236" s="54"/>
      <c r="I236" s="49"/>
      <c r="K236" s="49"/>
    </row>
    <row r="237" spans="6:11" x14ac:dyDescent="0.4">
      <c r="F237" s="54"/>
      <c r="I237" s="49"/>
      <c r="K237" s="49"/>
    </row>
    <row r="238" spans="6:11" x14ac:dyDescent="0.4">
      <c r="F238" s="54"/>
      <c r="I238" s="49"/>
      <c r="K238" s="49"/>
    </row>
    <row r="239" spans="6:11" x14ac:dyDescent="0.4">
      <c r="F239" s="54"/>
      <c r="I239" s="49"/>
      <c r="K239" s="49"/>
    </row>
    <row r="240" spans="6:11" x14ac:dyDescent="0.4">
      <c r="F240" s="54"/>
      <c r="I240" s="49"/>
      <c r="K240" s="49"/>
    </row>
    <row r="241" spans="6:11" x14ac:dyDescent="0.4">
      <c r="F241" s="54"/>
      <c r="I241" s="49"/>
      <c r="K241" s="49"/>
    </row>
    <row r="242" spans="6:11" x14ac:dyDescent="0.4">
      <c r="F242" s="54"/>
      <c r="I242" s="49"/>
      <c r="K242" s="49"/>
    </row>
    <row r="243" spans="6:11" x14ac:dyDescent="0.4">
      <c r="F243" s="54"/>
      <c r="I243" s="49"/>
      <c r="K243" s="49"/>
    </row>
    <row r="244" spans="6:11" x14ac:dyDescent="0.4">
      <c r="F244" s="54"/>
      <c r="I244" s="49"/>
      <c r="K244" s="49"/>
    </row>
    <row r="245" spans="6:11" x14ac:dyDescent="0.4">
      <c r="F245" s="54"/>
      <c r="I245" s="49"/>
      <c r="K245" s="49"/>
    </row>
    <row r="246" spans="6:11" x14ac:dyDescent="0.4">
      <c r="F246" s="54"/>
      <c r="I246" s="49"/>
      <c r="K246" s="49"/>
    </row>
    <row r="247" spans="6:11" x14ac:dyDescent="0.4">
      <c r="F247" s="54"/>
      <c r="I247" s="49"/>
      <c r="K247" s="49"/>
    </row>
    <row r="248" spans="6:11" x14ac:dyDescent="0.4">
      <c r="F248" s="54"/>
      <c r="I248" s="49"/>
      <c r="K248" s="49"/>
    </row>
    <row r="249" spans="6:11" x14ac:dyDescent="0.4">
      <c r="F249" s="54"/>
      <c r="I249" s="49"/>
      <c r="K249" s="49"/>
    </row>
    <row r="250" spans="6:11" x14ac:dyDescent="0.4">
      <c r="F250" s="54"/>
      <c r="I250" s="49"/>
      <c r="K250" s="49"/>
    </row>
    <row r="251" spans="6:11" x14ac:dyDescent="0.4">
      <c r="F251" s="54"/>
      <c r="I251" s="49"/>
      <c r="K251" s="49"/>
    </row>
    <row r="252" spans="6:11" x14ac:dyDescent="0.4">
      <c r="F252" s="54"/>
      <c r="I252" s="49"/>
      <c r="K252" s="49"/>
    </row>
    <row r="253" spans="6:11" x14ac:dyDescent="0.4">
      <c r="F253" s="54"/>
      <c r="I253" s="49"/>
      <c r="K253" s="49"/>
    </row>
    <row r="254" spans="6:11" x14ac:dyDescent="0.4">
      <c r="F254" s="54"/>
      <c r="I254" s="49"/>
      <c r="K254" s="49"/>
    </row>
    <row r="255" spans="6:11" x14ac:dyDescent="0.4">
      <c r="F255" s="54"/>
      <c r="I255" s="49"/>
      <c r="K255" s="49"/>
    </row>
    <row r="256" spans="6:11" x14ac:dyDescent="0.4">
      <c r="F256" s="54"/>
      <c r="I256" s="49"/>
      <c r="K256" s="49"/>
    </row>
    <row r="257" spans="6:11" x14ac:dyDescent="0.4">
      <c r="F257" s="54"/>
      <c r="I257" s="49"/>
      <c r="K257" s="49"/>
    </row>
    <row r="258" spans="6:11" x14ac:dyDescent="0.4">
      <c r="F258" s="54"/>
      <c r="I258" s="49"/>
      <c r="K258" s="49"/>
    </row>
    <row r="259" spans="6:11" x14ac:dyDescent="0.4">
      <c r="F259" s="54"/>
      <c r="I259" s="49"/>
      <c r="K259" s="49"/>
    </row>
    <row r="260" spans="6:11" x14ac:dyDescent="0.4">
      <c r="F260" s="54"/>
      <c r="I260" s="49"/>
      <c r="K260" s="49"/>
    </row>
    <row r="261" spans="6:11" x14ac:dyDescent="0.4">
      <c r="F261" s="54"/>
      <c r="I261" s="49"/>
      <c r="K261" s="49"/>
    </row>
    <row r="262" spans="6:11" x14ac:dyDescent="0.4">
      <c r="F262" s="54"/>
      <c r="I262" s="49"/>
      <c r="K262" s="49"/>
    </row>
    <row r="263" spans="6:11" x14ac:dyDescent="0.4">
      <c r="F263" s="54"/>
      <c r="I263" s="49"/>
      <c r="K263" s="49"/>
    </row>
    <row r="264" spans="6:11" x14ac:dyDescent="0.4">
      <c r="F264" s="54"/>
      <c r="I264" s="49"/>
      <c r="K264" s="49"/>
    </row>
    <row r="265" spans="6:11" x14ac:dyDescent="0.4">
      <c r="F265" s="54"/>
      <c r="I265" s="49"/>
      <c r="K265" s="49"/>
    </row>
    <row r="266" spans="6:11" x14ac:dyDescent="0.4">
      <c r="F266" s="54"/>
      <c r="I266" s="49"/>
      <c r="K266" s="49"/>
    </row>
    <row r="267" spans="6:11" x14ac:dyDescent="0.4">
      <c r="F267" s="54"/>
      <c r="I267" s="49"/>
      <c r="K267" s="49"/>
    </row>
    <row r="268" spans="6:11" x14ac:dyDescent="0.4">
      <c r="F268" s="54"/>
      <c r="I268" s="49"/>
      <c r="K268" s="49"/>
    </row>
    <row r="269" spans="6:11" x14ac:dyDescent="0.4">
      <c r="F269" s="54"/>
      <c r="I269" s="49"/>
      <c r="K269" s="49"/>
    </row>
    <row r="270" spans="6:11" x14ac:dyDescent="0.4">
      <c r="F270" s="54"/>
      <c r="I270" s="49"/>
      <c r="K270" s="49"/>
    </row>
    <row r="271" spans="6:11" x14ac:dyDescent="0.4">
      <c r="F271" s="54"/>
      <c r="I271" s="49"/>
      <c r="K271" s="49"/>
    </row>
    <row r="272" spans="6:11" x14ac:dyDescent="0.4">
      <c r="F272" s="54"/>
      <c r="I272" s="49"/>
      <c r="K272" s="49"/>
    </row>
    <row r="273" spans="6:11" x14ac:dyDescent="0.4">
      <c r="F273" s="54"/>
      <c r="I273" s="49"/>
      <c r="K273" s="49"/>
    </row>
    <row r="274" spans="6:11" x14ac:dyDescent="0.4">
      <c r="F274" s="54"/>
      <c r="I274" s="49"/>
      <c r="K274" s="49"/>
    </row>
    <row r="275" spans="6:11" x14ac:dyDescent="0.4">
      <c r="F275" s="54"/>
      <c r="I275" s="49"/>
      <c r="K275" s="49"/>
    </row>
    <row r="276" spans="6:11" x14ac:dyDescent="0.4">
      <c r="F276" s="54"/>
      <c r="I276" s="49"/>
      <c r="K276" s="49"/>
    </row>
    <row r="277" spans="6:11" x14ac:dyDescent="0.4">
      <c r="F277" s="54"/>
      <c r="I277" s="49"/>
      <c r="K277" s="49"/>
    </row>
    <row r="278" spans="6:11" x14ac:dyDescent="0.4">
      <c r="F278" s="54"/>
      <c r="I278" s="49"/>
      <c r="K278" s="49"/>
    </row>
    <row r="279" spans="6:11" x14ac:dyDescent="0.4">
      <c r="F279" s="54"/>
      <c r="I279" s="49"/>
      <c r="K279" s="49"/>
    </row>
    <row r="280" spans="6:11" x14ac:dyDescent="0.4">
      <c r="F280" s="54"/>
      <c r="I280" s="49"/>
      <c r="K280" s="49"/>
    </row>
    <row r="281" spans="6:11" x14ac:dyDescent="0.4">
      <c r="F281" s="54"/>
      <c r="I281" s="49"/>
      <c r="K281" s="49"/>
    </row>
    <row r="282" spans="6:11" x14ac:dyDescent="0.4">
      <c r="F282" s="54"/>
      <c r="I282" s="49"/>
      <c r="K282" s="49"/>
    </row>
    <row r="283" spans="6:11" x14ac:dyDescent="0.4">
      <c r="F283" s="54"/>
      <c r="I283" s="49"/>
      <c r="K283" s="49"/>
    </row>
    <row r="284" spans="6:11" x14ac:dyDescent="0.4">
      <c r="F284" s="54"/>
      <c r="I284" s="49"/>
      <c r="K284" s="49"/>
    </row>
    <row r="285" spans="6:11" x14ac:dyDescent="0.4">
      <c r="F285" s="54"/>
      <c r="I285" s="49"/>
      <c r="K285" s="49"/>
    </row>
    <row r="286" spans="6:11" x14ac:dyDescent="0.4">
      <c r="F286" s="54"/>
      <c r="I286" s="49"/>
      <c r="K286" s="49"/>
    </row>
    <row r="287" spans="6:11" x14ac:dyDescent="0.4">
      <c r="F287" s="54"/>
      <c r="I287" s="49"/>
      <c r="K287" s="49"/>
    </row>
    <row r="288" spans="6:11" x14ac:dyDescent="0.4">
      <c r="F288" s="54"/>
      <c r="I288" s="49"/>
      <c r="K288" s="49"/>
    </row>
    <row r="289" spans="6:11" x14ac:dyDescent="0.4">
      <c r="F289" s="54"/>
      <c r="I289" s="49"/>
      <c r="K289" s="49"/>
    </row>
    <row r="290" spans="6:11" x14ac:dyDescent="0.4">
      <c r="F290" s="54"/>
      <c r="I290" s="49"/>
      <c r="K290" s="49"/>
    </row>
    <row r="291" spans="6:11" x14ac:dyDescent="0.4">
      <c r="F291" s="54"/>
      <c r="I291" s="49"/>
      <c r="K291" s="49"/>
    </row>
    <row r="292" spans="6:11" x14ac:dyDescent="0.4">
      <c r="F292" s="54"/>
      <c r="I292" s="49"/>
      <c r="K292" s="49"/>
    </row>
    <row r="293" spans="6:11" x14ac:dyDescent="0.4">
      <c r="F293" s="54"/>
      <c r="I293" s="49"/>
      <c r="K293" s="49"/>
    </row>
    <row r="294" spans="6:11" x14ac:dyDescent="0.4">
      <c r="F294" s="54"/>
      <c r="I294" s="49"/>
      <c r="K294" s="49"/>
    </row>
    <row r="295" spans="6:11" x14ac:dyDescent="0.4">
      <c r="F295" s="54"/>
      <c r="I295" s="49"/>
      <c r="K295" s="49"/>
    </row>
    <row r="296" spans="6:11" x14ac:dyDescent="0.4">
      <c r="F296" s="54"/>
      <c r="I296" s="49"/>
      <c r="K296" s="49"/>
    </row>
    <row r="297" spans="6:11" x14ac:dyDescent="0.4">
      <c r="F297" s="54"/>
      <c r="I297" s="49"/>
      <c r="K297" s="49"/>
    </row>
    <row r="298" spans="6:11" x14ac:dyDescent="0.4">
      <c r="F298" s="54"/>
      <c r="I298" s="49"/>
      <c r="K298" s="49"/>
    </row>
    <row r="299" spans="6:11" x14ac:dyDescent="0.4">
      <c r="F299" s="54"/>
      <c r="I299" s="49"/>
      <c r="K299" s="49"/>
    </row>
    <row r="300" spans="6:11" x14ac:dyDescent="0.4">
      <c r="F300" s="54"/>
      <c r="I300" s="49"/>
      <c r="K300" s="49"/>
    </row>
    <row r="301" spans="6:11" x14ac:dyDescent="0.4">
      <c r="F301" s="54"/>
      <c r="I301" s="49"/>
      <c r="K301" s="49"/>
    </row>
    <row r="302" spans="6:11" x14ac:dyDescent="0.4">
      <c r="F302" s="54"/>
      <c r="I302" s="49"/>
      <c r="K302" s="49"/>
    </row>
    <row r="303" spans="6:11" x14ac:dyDescent="0.4">
      <c r="F303" s="54"/>
      <c r="I303" s="49"/>
      <c r="K303" s="49"/>
    </row>
    <row r="304" spans="6:11" x14ac:dyDescent="0.4">
      <c r="F304" s="54"/>
      <c r="I304" s="49"/>
      <c r="K304" s="49"/>
    </row>
    <row r="305" spans="6:11" x14ac:dyDescent="0.4">
      <c r="F305" s="54"/>
      <c r="I305" s="49"/>
      <c r="K305" s="49"/>
    </row>
    <row r="306" spans="6:11" x14ac:dyDescent="0.4">
      <c r="F306" s="54"/>
      <c r="I306" s="49"/>
      <c r="K306" s="49"/>
    </row>
    <row r="307" spans="6:11" x14ac:dyDescent="0.4">
      <c r="F307" s="54"/>
      <c r="I307" s="49"/>
      <c r="K307" s="49"/>
    </row>
    <row r="308" spans="6:11" x14ac:dyDescent="0.4">
      <c r="F308" s="54"/>
      <c r="I308" s="49"/>
      <c r="K308" s="49"/>
    </row>
    <row r="309" spans="6:11" x14ac:dyDescent="0.4">
      <c r="F309" s="54"/>
      <c r="I309" s="49"/>
      <c r="K309" s="49"/>
    </row>
    <row r="310" spans="6:11" x14ac:dyDescent="0.4">
      <c r="F310" s="54"/>
      <c r="I310" s="49"/>
      <c r="K310" s="49"/>
    </row>
    <row r="311" spans="6:11" x14ac:dyDescent="0.4">
      <c r="F311" s="54"/>
      <c r="I311" s="49"/>
      <c r="K311" s="49"/>
    </row>
    <row r="312" spans="6:11" x14ac:dyDescent="0.4">
      <c r="F312" s="54"/>
      <c r="I312" s="49"/>
      <c r="K312" s="49"/>
    </row>
    <row r="313" spans="6:11" x14ac:dyDescent="0.4">
      <c r="F313" s="54"/>
      <c r="I313" s="49"/>
      <c r="K313" s="49"/>
    </row>
    <row r="314" spans="6:11" x14ac:dyDescent="0.4">
      <c r="F314" s="54"/>
      <c r="I314" s="49"/>
      <c r="K314" s="49"/>
    </row>
    <row r="315" spans="6:11" x14ac:dyDescent="0.4">
      <c r="F315" s="54"/>
      <c r="I315" s="49"/>
      <c r="K315" s="49"/>
    </row>
    <row r="316" spans="6:11" x14ac:dyDescent="0.4">
      <c r="F316" s="54"/>
      <c r="I316" s="49"/>
      <c r="K316" s="49"/>
    </row>
    <row r="317" spans="6:11" x14ac:dyDescent="0.4">
      <c r="F317" s="54"/>
      <c r="I317" s="49"/>
      <c r="K317" s="49"/>
    </row>
    <row r="318" spans="6:11" x14ac:dyDescent="0.4">
      <c r="F318" s="54"/>
      <c r="I318" s="49"/>
      <c r="K318" s="49"/>
    </row>
    <row r="319" spans="6:11" x14ac:dyDescent="0.4">
      <c r="F319" s="54"/>
      <c r="I319" s="49"/>
      <c r="K319" s="49"/>
    </row>
    <row r="320" spans="6:11" x14ac:dyDescent="0.4">
      <c r="F320" s="54"/>
      <c r="I320" s="49"/>
      <c r="K320" s="49"/>
    </row>
    <row r="321" spans="6:11" x14ac:dyDescent="0.4">
      <c r="F321" s="54"/>
      <c r="I321" s="49"/>
      <c r="K321" s="49"/>
    </row>
    <row r="322" spans="6:11" x14ac:dyDescent="0.4">
      <c r="F322" s="54"/>
      <c r="I322" s="49"/>
      <c r="K322" s="49"/>
    </row>
    <row r="323" spans="6:11" x14ac:dyDescent="0.4">
      <c r="F323" s="54"/>
      <c r="I323" s="49"/>
      <c r="K323" s="49"/>
    </row>
    <row r="324" spans="6:11" x14ac:dyDescent="0.4">
      <c r="F324" s="54"/>
      <c r="I324" s="49"/>
      <c r="K324" s="49"/>
    </row>
    <row r="325" spans="6:11" x14ac:dyDescent="0.4">
      <c r="F325" s="54"/>
      <c r="I325" s="49"/>
      <c r="K325" s="49"/>
    </row>
    <row r="326" spans="6:11" x14ac:dyDescent="0.4">
      <c r="F326" s="54"/>
      <c r="I326" s="49"/>
      <c r="K326" s="49"/>
    </row>
    <row r="327" spans="6:11" x14ac:dyDescent="0.4">
      <c r="F327" s="54"/>
      <c r="I327" s="49"/>
      <c r="K327" s="49"/>
    </row>
    <row r="328" spans="6:11" x14ac:dyDescent="0.4">
      <c r="F328" s="54"/>
      <c r="I328" s="49"/>
      <c r="K328" s="49"/>
    </row>
    <row r="329" spans="6:11" x14ac:dyDescent="0.4">
      <c r="F329" s="54"/>
      <c r="I329" s="49"/>
      <c r="K329" s="49"/>
    </row>
    <row r="330" spans="6:11" x14ac:dyDescent="0.4">
      <c r="F330" s="54"/>
      <c r="I330" s="49"/>
      <c r="K330" s="49"/>
    </row>
    <row r="331" spans="6:11" x14ac:dyDescent="0.4">
      <c r="F331" s="54"/>
      <c r="I331" s="49"/>
      <c r="K331" s="49"/>
    </row>
    <row r="332" spans="6:11" x14ac:dyDescent="0.4">
      <c r="F332" s="54"/>
      <c r="I332" s="49"/>
      <c r="K332" s="49"/>
    </row>
    <row r="333" spans="6:11" x14ac:dyDescent="0.4">
      <c r="F333" s="54"/>
      <c r="I333" s="49"/>
      <c r="K333" s="49"/>
    </row>
    <row r="334" spans="6:11" x14ac:dyDescent="0.4">
      <c r="F334" s="54"/>
      <c r="I334" s="49"/>
      <c r="K334" s="49"/>
    </row>
    <row r="335" spans="6:11" x14ac:dyDescent="0.4">
      <c r="F335" s="54"/>
      <c r="I335" s="49"/>
      <c r="K335" s="49"/>
    </row>
    <row r="336" spans="6:11" x14ac:dyDescent="0.4">
      <c r="F336" s="54"/>
      <c r="I336" s="49"/>
      <c r="K336" s="49"/>
    </row>
    <row r="337" spans="6:11" x14ac:dyDescent="0.4">
      <c r="F337" s="54"/>
      <c r="I337" s="49"/>
      <c r="K337" s="49"/>
    </row>
    <row r="338" spans="6:11" x14ac:dyDescent="0.4">
      <c r="F338" s="54"/>
      <c r="I338" s="49"/>
      <c r="K338" s="49"/>
    </row>
    <row r="339" spans="6:11" x14ac:dyDescent="0.4">
      <c r="F339" s="54"/>
      <c r="I339" s="49"/>
      <c r="K339" s="49"/>
    </row>
    <row r="340" spans="6:11" x14ac:dyDescent="0.4">
      <c r="F340" s="54"/>
      <c r="I340" s="49"/>
      <c r="K340" s="49"/>
    </row>
    <row r="341" spans="6:11" x14ac:dyDescent="0.4">
      <c r="F341" s="54"/>
      <c r="I341" s="49"/>
      <c r="K341" s="49"/>
    </row>
    <row r="342" spans="6:11" x14ac:dyDescent="0.4">
      <c r="F342" s="54"/>
      <c r="I342" s="49"/>
      <c r="K342" s="49"/>
    </row>
    <row r="343" spans="6:11" x14ac:dyDescent="0.4">
      <c r="F343" s="54"/>
      <c r="I343" s="49"/>
      <c r="K343" s="49"/>
    </row>
    <row r="344" spans="6:11" x14ac:dyDescent="0.4">
      <c r="F344" s="54"/>
      <c r="I344" s="49"/>
      <c r="K344" s="49"/>
    </row>
    <row r="345" spans="6:11" x14ac:dyDescent="0.4">
      <c r="F345" s="54"/>
      <c r="I345" s="49"/>
      <c r="K345" s="49"/>
    </row>
    <row r="346" spans="6:11" x14ac:dyDescent="0.4">
      <c r="F346" s="54"/>
      <c r="I346" s="49"/>
      <c r="K346" s="49"/>
    </row>
    <row r="347" spans="6:11" x14ac:dyDescent="0.4">
      <c r="F347" s="54"/>
      <c r="I347" s="49"/>
      <c r="K347" s="49"/>
    </row>
    <row r="348" spans="6:11" x14ac:dyDescent="0.4">
      <c r="F348" s="54"/>
      <c r="I348" s="49"/>
      <c r="K348" s="49"/>
    </row>
    <row r="349" spans="6:11" x14ac:dyDescent="0.4">
      <c r="F349" s="54"/>
      <c r="I349" s="49"/>
      <c r="K349" s="49"/>
    </row>
    <row r="350" spans="6:11" x14ac:dyDescent="0.4">
      <c r="F350" s="54"/>
      <c r="I350" s="49"/>
      <c r="K350" s="49"/>
    </row>
    <row r="351" spans="6:11" x14ac:dyDescent="0.4">
      <c r="F351" s="54"/>
      <c r="I351" s="49"/>
      <c r="K351" s="49"/>
    </row>
    <row r="352" spans="6:11" x14ac:dyDescent="0.4">
      <c r="F352" s="54"/>
      <c r="I352" s="49"/>
      <c r="K352" s="49"/>
    </row>
    <row r="353" spans="6:11" x14ac:dyDescent="0.4">
      <c r="F353" s="54"/>
      <c r="I353" s="49"/>
      <c r="K353" s="49"/>
    </row>
    <row r="354" spans="6:11" x14ac:dyDescent="0.4">
      <c r="F354" s="54"/>
      <c r="I354" s="49"/>
      <c r="K354" s="49"/>
    </row>
    <row r="355" spans="6:11" x14ac:dyDescent="0.4">
      <c r="F355" s="54"/>
      <c r="I355" s="49"/>
      <c r="K355" s="49"/>
    </row>
    <row r="356" spans="6:11" x14ac:dyDescent="0.4">
      <c r="F356" s="54"/>
      <c r="I356" s="49"/>
      <c r="K356" s="49"/>
    </row>
    <row r="357" spans="6:11" x14ac:dyDescent="0.4">
      <c r="F357" s="54"/>
      <c r="I357" s="49"/>
      <c r="K357" s="49"/>
    </row>
    <row r="358" spans="6:11" x14ac:dyDescent="0.4">
      <c r="F358" s="54"/>
      <c r="I358" s="49"/>
      <c r="K358" s="49"/>
    </row>
    <row r="359" spans="6:11" x14ac:dyDescent="0.4">
      <c r="F359" s="54"/>
      <c r="I359" s="49"/>
      <c r="K359" s="49"/>
    </row>
    <row r="360" spans="6:11" x14ac:dyDescent="0.4">
      <c r="F360" s="54"/>
      <c r="I360" s="49"/>
      <c r="K360" s="49"/>
    </row>
    <row r="361" spans="6:11" x14ac:dyDescent="0.4">
      <c r="F361" s="54"/>
      <c r="I361" s="49"/>
      <c r="K361" s="49"/>
    </row>
    <row r="362" spans="6:11" x14ac:dyDescent="0.4">
      <c r="F362" s="54"/>
      <c r="I362" s="49"/>
      <c r="K362" s="49"/>
    </row>
    <row r="363" spans="6:11" x14ac:dyDescent="0.4">
      <c r="F363" s="54"/>
      <c r="I363" s="49"/>
      <c r="K363" s="49"/>
    </row>
    <row r="364" spans="6:11" x14ac:dyDescent="0.4">
      <c r="F364" s="54"/>
      <c r="I364" s="49"/>
      <c r="K364" s="49"/>
    </row>
    <row r="365" spans="6:11" x14ac:dyDescent="0.4">
      <c r="F365" s="54"/>
      <c r="I365" s="49"/>
      <c r="K365" s="49"/>
    </row>
    <row r="366" spans="6:11" x14ac:dyDescent="0.4">
      <c r="F366" s="54"/>
      <c r="I366" s="49"/>
      <c r="K366" s="49"/>
    </row>
    <row r="367" spans="6:11" x14ac:dyDescent="0.4">
      <c r="F367" s="54"/>
      <c r="I367" s="49"/>
      <c r="K367" s="49"/>
    </row>
    <row r="368" spans="6:11" x14ac:dyDescent="0.4">
      <c r="F368" s="54"/>
      <c r="I368" s="49"/>
      <c r="K368" s="49"/>
    </row>
    <row r="369" spans="6:11" x14ac:dyDescent="0.4">
      <c r="F369" s="54"/>
      <c r="I369" s="49"/>
      <c r="K369" s="49"/>
    </row>
    <row r="370" spans="6:11" x14ac:dyDescent="0.4">
      <c r="F370" s="54"/>
      <c r="I370" s="49"/>
      <c r="K370" s="49"/>
    </row>
    <row r="371" spans="6:11" x14ac:dyDescent="0.4">
      <c r="F371" s="54"/>
      <c r="I371" s="49"/>
      <c r="K371" s="49"/>
    </row>
    <row r="372" spans="6:11" x14ac:dyDescent="0.4">
      <c r="F372" s="54"/>
      <c r="I372" s="49"/>
      <c r="K372" s="49"/>
    </row>
    <row r="373" spans="6:11" x14ac:dyDescent="0.4">
      <c r="F373" s="54"/>
      <c r="I373" s="49"/>
      <c r="K373" s="49"/>
    </row>
    <row r="374" spans="6:11" x14ac:dyDescent="0.4">
      <c r="F374" s="54"/>
      <c r="I374" s="49"/>
      <c r="K374" s="49"/>
    </row>
    <row r="375" spans="6:11" x14ac:dyDescent="0.4">
      <c r="F375" s="54"/>
      <c r="I375" s="49"/>
      <c r="K375" s="49"/>
    </row>
    <row r="376" spans="6:11" x14ac:dyDescent="0.4">
      <c r="F376" s="54"/>
      <c r="I376" s="49"/>
      <c r="K376" s="49"/>
    </row>
    <row r="377" spans="6:11" x14ac:dyDescent="0.4">
      <c r="F377" s="54"/>
      <c r="I377" s="49"/>
      <c r="K377" s="49"/>
    </row>
    <row r="378" spans="6:11" x14ac:dyDescent="0.4">
      <c r="F378" s="54"/>
      <c r="I378" s="49"/>
      <c r="K378" s="49"/>
    </row>
    <row r="379" spans="6:11" x14ac:dyDescent="0.4">
      <c r="F379" s="54"/>
      <c r="I379" s="49"/>
      <c r="K379" s="49"/>
    </row>
    <row r="380" spans="6:11" x14ac:dyDescent="0.4">
      <c r="F380" s="54"/>
      <c r="I380" s="49"/>
      <c r="K380" s="49"/>
    </row>
    <row r="381" spans="6:11" x14ac:dyDescent="0.4">
      <c r="F381" s="54"/>
      <c r="I381" s="49"/>
      <c r="K381" s="49"/>
    </row>
    <row r="382" spans="6:11" x14ac:dyDescent="0.4">
      <c r="F382" s="54"/>
      <c r="I382" s="49"/>
      <c r="K382" s="49"/>
    </row>
    <row r="383" spans="6:11" x14ac:dyDescent="0.4">
      <c r="F383" s="54"/>
      <c r="I383" s="49"/>
      <c r="K383" s="49"/>
    </row>
    <row r="384" spans="6:11" x14ac:dyDescent="0.4">
      <c r="F384" s="54"/>
      <c r="I384" s="49"/>
      <c r="K384" s="49"/>
    </row>
    <row r="385" spans="6:14" x14ac:dyDescent="0.4">
      <c r="F385" s="54"/>
      <c r="I385" s="49"/>
      <c r="K385" s="49"/>
    </row>
    <row r="386" spans="6:14" x14ac:dyDescent="0.4">
      <c r="F386" s="54"/>
      <c r="I386" s="49"/>
      <c r="K386" s="49"/>
      <c r="N386" s="36"/>
    </row>
    <row r="387" spans="6:14" x14ac:dyDescent="0.4">
      <c r="F387" s="54"/>
      <c r="I387" s="49"/>
      <c r="K387" s="49"/>
      <c r="N387" s="36"/>
    </row>
    <row r="388" spans="6:14" x14ac:dyDescent="0.4">
      <c r="F388" s="54"/>
      <c r="I388" s="49"/>
      <c r="K388" s="49"/>
    </row>
    <row r="389" spans="6:14" x14ac:dyDescent="0.4">
      <c r="F389" s="54"/>
      <c r="I389" s="49"/>
      <c r="K389" s="49"/>
    </row>
    <row r="390" spans="6:14" x14ac:dyDescent="0.4">
      <c r="F390" s="54"/>
      <c r="I390" s="49"/>
      <c r="K390" s="49"/>
    </row>
    <row r="391" spans="6:14" x14ac:dyDescent="0.4">
      <c r="F391" s="54"/>
      <c r="I391" s="49"/>
      <c r="K391" s="49"/>
    </row>
    <row r="392" spans="6:14" x14ac:dyDescent="0.4">
      <c r="F392" s="54"/>
      <c r="I392" s="49"/>
      <c r="K392" s="49"/>
    </row>
    <row r="393" spans="6:14" x14ac:dyDescent="0.4">
      <c r="F393" s="54"/>
      <c r="I393" s="49"/>
      <c r="K393" s="49"/>
    </row>
    <row r="394" spans="6:14" x14ac:dyDescent="0.4">
      <c r="F394" s="54"/>
      <c r="I394" s="49"/>
      <c r="K394" s="49"/>
    </row>
    <row r="395" spans="6:14" x14ac:dyDescent="0.4">
      <c r="F395" s="54"/>
      <c r="I395" s="49"/>
      <c r="K395" s="49"/>
    </row>
    <row r="396" spans="6:14" x14ac:dyDescent="0.4">
      <c r="F396" s="54"/>
      <c r="I396" s="49"/>
      <c r="K396" s="49"/>
    </row>
    <row r="397" spans="6:14" x14ac:dyDescent="0.4">
      <c r="F397" s="54"/>
      <c r="I397" s="49"/>
      <c r="K397" s="49"/>
    </row>
    <row r="398" spans="6:14" x14ac:dyDescent="0.4">
      <c r="F398" s="54"/>
      <c r="I398" s="49"/>
      <c r="K398" s="49"/>
      <c r="N398" s="36"/>
    </row>
    <row r="399" spans="6:14" x14ac:dyDescent="0.4">
      <c r="F399" s="54"/>
      <c r="I399" s="49"/>
      <c r="K399" s="49"/>
      <c r="N399" s="36"/>
    </row>
    <row r="400" spans="6:14" x14ac:dyDescent="0.4">
      <c r="F400" s="54"/>
      <c r="I400" s="49"/>
      <c r="K400" s="49"/>
    </row>
    <row r="401" spans="6:14" x14ac:dyDescent="0.4">
      <c r="F401" s="54"/>
      <c r="I401" s="49"/>
      <c r="K401" s="49"/>
    </row>
    <row r="402" spans="6:14" x14ac:dyDescent="0.4">
      <c r="F402" s="54"/>
      <c r="I402" s="49"/>
      <c r="K402" s="49"/>
    </row>
    <row r="403" spans="6:14" x14ac:dyDescent="0.4">
      <c r="F403" s="54"/>
      <c r="I403" s="49"/>
      <c r="K403" s="49"/>
      <c r="N403" s="36"/>
    </row>
    <row r="404" spans="6:14" x14ac:dyDescent="0.4">
      <c r="F404" s="54"/>
      <c r="I404" s="49"/>
      <c r="K404" s="49"/>
    </row>
    <row r="405" spans="6:14" x14ac:dyDescent="0.4">
      <c r="F405" s="54"/>
      <c r="I405" s="49"/>
      <c r="K405" s="49"/>
    </row>
    <row r="406" spans="6:14" x14ac:dyDescent="0.4">
      <c r="F406" s="54"/>
      <c r="I406" s="49"/>
      <c r="K406" s="49"/>
    </row>
    <row r="407" spans="6:14" x14ac:dyDescent="0.4">
      <c r="F407" s="54"/>
      <c r="I407" s="49"/>
      <c r="K407" s="49"/>
    </row>
    <row r="408" spans="6:14" x14ac:dyDescent="0.4">
      <c r="F408" s="54"/>
      <c r="I408" s="49"/>
      <c r="K408" s="49"/>
    </row>
    <row r="409" spans="6:14" x14ac:dyDescent="0.4">
      <c r="F409" s="54"/>
      <c r="I409" s="49"/>
      <c r="K409" s="49"/>
    </row>
    <row r="410" spans="6:14" x14ac:dyDescent="0.4">
      <c r="F410" s="54"/>
      <c r="I410" s="49"/>
      <c r="K410" s="49"/>
    </row>
    <row r="411" spans="6:14" x14ac:dyDescent="0.4">
      <c r="F411" s="54"/>
      <c r="I411" s="49"/>
      <c r="K411" s="49"/>
    </row>
    <row r="412" spans="6:14" x14ac:dyDescent="0.4">
      <c r="F412" s="54"/>
      <c r="I412" s="49"/>
      <c r="K412" s="49"/>
    </row>
    <row r="413" spans="6:14" x14ac:dyDescent="0.4">
      <c r="F413" s="54"/>
      <c r="I413" s="49"/>
      <c r="K413" s="49"/>
    </row>
    <row r="414" spans="6:14" x14ac:dyDescent="0.4">
      <c r="F414" s="54"/>
      <c r="I414" s="49"/>
      <c r="K414" s="49"/>
    </row>
    <row r="415" spans="6:14" x14ac:dyDescent="0.4">
      <c r="F415" s="54"/>
      <c r="I415" s="49"/>
      <c r="K415" s="49"/>
    </row>
    <row r="416" spans="6:14" x14ac:dyDescent="0.4">
      <c r="F416" s="54"/>
      <c r="I416" s="49"/>
      <c r="K416" s="49"/>
    </row>
    <row r="417" spans="6:11" x14ac:dyDescent="0.4">
      <c r="F417" s="54"/>
      <c r="I417" s="49"/>
      <c r="K417" s="49"/>
    </row>
    <row r="418" spans="6:11" x14ac:dyDescent="0.4">
      <c r="F418" s="54"/>
      <c r="I418" s="49"/>
      <c r="K418" s="49"/>
    </row>
    <row r="419" spans="6:11" x14ac:dyDescent="0.4">
      <c r="F419" s="54"/>
      <c r="I419" s="49"/>
      <c r="K419" s="49"/>
    </row>
    <row r="420" spans="6:11" x14ac:dyDescent="0.4">
      <c r="F420" s="54"/>
      <c r="I420" s="49"/>
      <c r="K420" s="49"/>
    </row>
    <row r="421" spans="6:11" x14ac:dyDescent="0.4">
      <c r="F421" s="54"/>
      <c r="I421" s="49"/>
      <c r="K421" s="49"/>
    </row>
    <row r="422" spans="6:11" x14ac:dyDescent="0.4">
      <c r="F422" s="54"/>
      <c r="I422" s="49"/>
      <c r="K422" s="49"/>
    </row>
    <row r="423" spans="6:11" x14ac:dyDescent="0.4">
      <c r="F423" s="54"/>
      <c r="I423" s="49"/>
      <c r="K423" s="49"/>
    </row>
    <row r="424" spans="6:11" x14ac:dyDescent="0.4">
      <c r="F424" s="54"/>
      <c r="I424" s="49"/>
      <c r="K424" s="49"/>
    </row>
    <row r="425" spans="6:11" x14ac:dyDescent="0.4">
      <c r="F425" s="54"/>
      <c r="I425" s="49"/>
      <c r="K425" s="49"/>
    </row>
    <row r="426" spans="6:11" x14ac:dyDescent="0.4">
      <c r="F426" s="54"/>
      <c r="I426" s="49"/>
      <c r="K426" s="49"/>
    </row>
    <row r="427" spans="6:11" x14ac:dyDescent="0.4">
      <c r="F427" s="54"/>
      <c r="I427" s="49"/>
      <c r="K427" s="49"/>
    </row>
    <row r="428" spans="6:11" x14ac:dyDescent="0.4">
      <c r="F428" s="54"/>
      <c r="I428" s="49"/>
      <c r="K428" s="49"/>
    </row>
    <row r="429" spans="6:11" x14ac:dyDescent="0.4">
      <c r="F429" s="54"/>
      <c r="I429" s="49"/>
      <c r="K429" s="49"/>
    </row>
    <row r="430" spans="6:11" x14ac:dyDescent="0.4">
      <c r="F430" s="54"/>
      <c r="I430" s="49"/>
      <c r="K430" s="49"/>
    </row>
    <row r="431" spans="6:11" x14ac:dyDescent="0.4">
      <c r="F431" s="54"/>
      <c r="I431" s="49"/>
      <c r="K431" s="49"/>
    </row>
    <row r="432" spans="6:11" x14ac:dyDescent="0.4">
      <c r="F432" s="54"/>
      <c r="I432" s="49"/>
      <c r="K432" s="49"/>
    </row>
    <row r="433" spans="6:11" x14ac:dyDescent="0.4">
      <c r="F433" s="54"/>
      <c r="I433" s="49"/>
      <c r="K433" s="49"/>
    </row>
    <row r="434" spans="6:11" x14ac:dyDescent="0.4">
      <c r="F434" s="54"/>
      <c r="I434" s="49"/>
      <c r="K434" s="49"/>
    </row>
    <row r="435" spans="6:11" x14ac:dyDescent="0.4">
      <c r="F435" s="54"/>
      <c r="I435" s="49"/>
      <c r="K435" s="49"/>
    </row>
    <row r="436" spans="6:11" x14ac:dyDescent="0.4">
      <c r="F436" s="54"/>
      <c r="I436" s="49"/>
      <c r="K436" s="49"/>
    </row>
    <row r="437" spans="6:11" x14ac:dyDescent="0.4">
      <c r="F437" s="54"/>
      <c r="I437" s="49"/>
      <c r="K437" s="49"/>
    </row>
    <row r="438" spans="6:11" x14ac:dyDescent="0.4">
      <c r="F438" s="54"/>
      <c r="I438" s="49"/>
      <c r="K438" s="49"/>
    </row>
    <row r="439" spans="6:11" x14ac:dyDescent="0.4">
      <c r="F439" s="54"/>
      <c r="I439" s="49"/>
      <c r="K439" s="49"/>
    </row>
    <row r="440" spans="6:11" x14ac:dyDescent="0.4">
      <c r="F440" s="54"/>
      <c r="I440" s="49"/>
      <c r="K440" s="49"/>
    </row>
    <row r="441" spans="6:11" x14ac:dyDescent="0.4">
      <c r="F441" s="54"/>
      <c r="I441" s="49"/>
      <c r="K441" s="49"/>
    </row>
    <row r="442" spans="6:11" x14ac:dyDescent="0.4">
      <c r="F442" s="54"/>
      <c r="I442" s="49"/>
      <c r="K442" s="49"/>
    </row>
    <row r="443" spans="6:11" x14ac:dyDescent="0.4">
      <c r="F443" s="54"/>
      <c r="I443" s="49"/>
      <c r="K443" s="49"/>
    </row>
    <row r="444" spans="6:11" x14ac:dyDescent="0.4">
      <c r="F444" s="54"/>
      <c r="I444" s="49"/>
      <c r="K444" s="49"/>
    </row>
    <row r="445" spans="6:11" x14ac:dyDescent="0.4">
      <c r="F445" s="54"/>
      <c r="I445" s="49"/>
      <c r="K445" s="49"/>
    </row>
    <row r="446" spans="6:11" x14ac:dyDescent="0.4">
      <c r="F446" s="54"/>
      <c r="I446" s="49"/>
      <c r="K446" s="49"/>
    </row>
    <row r="447" spans="6:11" x14ac:dyDescent="0.4">
      <c r="F447" s="54"/>
      <c r="I447" s="49"/>
      <c r="K447" s="49"/>
    </row>
    <row r="448" spans="6:11" x14ac:dyDescent="0.4">
      <c r="F448" s="54"/>
      <c r="I448" s="49"/>
      <c r="K448" s="49"/>
    </row>
    <row r="449" spans="6:11" x14ac:dyDescent="0.4">
      <c r="F449" s="54"/>
      <c r="I449" s="49"/>
      <c r="K449" s="49"/>
    </row>
    <row r="450" spans="6:11" x14ac:dyDescent="0.4">
      <c r="F450" s="54"/>
      <c r="I450" s="49"/>
      <c r="K450" s="49"/>
    </row>
    <row r="451" spans="6:11" x14ac:dyDescent="0.4">
      <c r="F451" s="54"/>
      <c r="I451" s="49"/>
      <c r="K451" s="49"/>
    </row>
    <row r="452" spans="6:11" x14ac:dyDescent="0.4">
      <c r="F452" s="54"/>
      <c r="I452" s="49"/>
      <c r="K452" s="49"/>
    </row>
    <row r="453" spans="6:11" x14ac:dyDescent="0.4">
      <c r="F453" s="54"/>
      <c r="I453" s="49"/>
      <c r="K453" s="49"/>
    </row>
    <row r="454" spans="6:11" x14ac:dyDescent="0.4">
      <c r="F454" s="54"/>
      <c r="I454" s="49"/>
      <c r="K454" s="49"/>
    </row>
    <row r="455" spans="6:11" x14ac:dyDescent="0.4">
      <c r="F455" s="54"/>
      <c r="I455" s="49"/>
      <c r="K455" s="49"/>
    </row>
    <row r="456" spans="6:11" x14ac:dyDescent="0.4">
      <c r="F456" s="54"/>
      <c r="I456" s="49"/>
      <c r="K456" s="49"/>
    </row>
    <row r="457" spans="6:11" x14ac:dyDescent="0.4">
      <c r="F457" s="54"/>
      <c r="I457" s="49"/>
      <c r="K457" s="49"/>
    </row>
    <row r="458" spans="6:11" x14ac:dyDescent="0.4">
      <c r="F458" s="54"/>
      <c r="I458" s="49"/>
      <c r="K458" s="49"/>
    </row>
    <row r="459" spans="6:11" x14ac:dyDescent="0.4">
      <c r="F459" s="54"/>
      <c r="I459" s="49"/>
      <c r="K459" s="49"/>
    </row>
    <row r="460" spans="6:11" x14ac:dyDescent="0.4">
      <c r="F460" s="54"/>
      <c r="I460" s="49"/>
      <c r="K460" s="49"/>
    </row>
    <row r="461" spans="6:11" x14ac:dyDescent="0.4">
      <c r="F461" s="54"/>
      <c r="I461" s="49"/>
      <c r="K461" s="49"/>
    </row>
    <row r="462" spans="6:11" x14ac:dyDescent="0.4">
      <c r="F462" s="54"/>
      <c r="I462" s="49"/>
      <c r="K462" s="49"/>
    </row>
    <row r="463" spans="6:11" x14ac:dyDescent="0.4">
      <c r="F463" s="54"/>
      <c r="I463" s="49"/>
      <c r="K463" s="49"/>
    </row>
    <row r="464" spans="6:11" x14ac:dyDescent="0.4">
      <c r="F464" s="54"/>
      <c r="I464" s="49"/>
      <c r="K464" s="49"/>
    </row>
    <row r="465" spans="6:11" x14ac:dyDescent="0.4">
      <c r="F465" s="54"/>
      <c r="I465" s="49"/>
      <c r="K465" s="49"/>
    </row>
    <row r="466" spans="6:11" x14ac:dyDescent="0.4">
      <c r="F466" s="54"/>
      <c r="I466" s="49"/>
      <c r="K466" s="49"/>
    </row>
    <row r="467" spans="6:11" x14ac:dyDescent="0.4">
      <c r="F467" s="54"/>
      <c r="I467" s="49"/>
      <c r="K467" s="49"/>
    </row>
    <row r="468" spans="6:11" x14ac:dyDescent="0.4">
      <c r="F468" s="54"/>
      <c r="I468" s="49"/>
      <c r="K468" s="49"/>
    </row>
    <row r="469" spans="6:11" x14ac:dyDescent="0.4">
      <c r="F469" s="54"/>
      <c r="I469" s="49"/>
      <c r="K469" s="49"/>
    </row>
    <row r="470" spans="6:11" x14ac:dyDescent="0.4">
      <c r="F470" s="54"/>
      <c r="I470" s="49"/>
      <c r="K470" s="49"/>
    </row>
    <row r="471" spans="6:11" x14ac:dyDescent="0.4">
      <c r="F471" s="54"/>
      <c r="I471" s="49"/>
      <c r="K471" s="49"/>
    </row>
    <row r="472" spans="6:11" x14ac:dyDescent="0.4">
      <c r="F472" s="54"/>
      <c r="I472" s="49"/>
      <c r="K472" s="49"/>
    </row>
    <row r="473" spans="6:11" x14ac:dyDescent="0.4">
      <c r="F473" s="54"/>
      <c r="I473" s="49"/>
      <c r="K473" s="49"/>
    </row>
    <row r="474" spans="6:11" x14ac:dyDescent="0.4">
      <c r="F474" s="54"/>
      <c r="I474" s="49"/>
      <c r="K474" s="49"/>
    </row>
    <row r="475" spans="6:11" x14ac:dyDescent="0.4">
      <c r="F475" s="54"/>
      <c r="I475" s="49"/>
      <c r="K475" s="49"/>
    </row>
    <row r="476" spans="6:11" x14ac:dyDescent="0.4">
      <c r="F476" s="54"/>
      <c r="I476" s="49"/>
      <c r="K476" s="49"/>
    </row>
    <row r="477" spans="6:11" x14ac:dyDescent="0.4">
      <c r="F477" s="54"/>
      <c r="I477" s="49"/>
      <c r="K477" s="49"/>
    </row>
    <row r="478" spans="6:11" x14ac:dyDescent="0.4">
      <c r="F478" s="54"/>
      <c r="I478" s="49"/>
      <c r="K478" s="49"/>
    </row>
    <row r="479" spans="6:11" x14ac:dyDescent="0.4">
      <c r="F479" s="54"/>
      <c r="I479" s="49"/>
      <c r="K479" s="49"/>
    </row>
    <row r="480" spans="6:11" x14ac:dyDescent="0.4">
      <c r="F480" s="54"/>
      <c r="I480" s="49"/>
      <c r="K480" s="49"/>
    </row>
    <row r="481" spans="6:11" x14ac:dyDescent="0.4">
      <c r="F481" s="54"/>
      <c r="I481" s="49"/>
      <c r="K481" s="49"/>
    </row>
    <row r="482" spans="6:11" x14ac:dyDescent="0.4">
      <c r="F482" s="54"/>
      <c r="I482" s="49"/>
      <c r="K482" s="49"/>
    </row>
    <row r="483" spans="6:11" x14ac:dyDescent="0.4">
      <c r="F483" s="54"/>
      <c r="I483" s="49"/>
      <c r="K483" s="49"/>
    </row>
    <row r="484" spans="6:11" x14ac:dyDescent="0.4">
      <c r="F484" s="54"/>
      <c r="I484" s="49"/>
      <c r="K484" s="49"/>
    </row>
    <row r="485" spans="6:11" x14ac:dyDescent="0.4">
      <c r="F485" s="54"/>
      <c r="I485" s="49"/>
      <c r="K485" s="49"/>
    </row>
    <row r="486" spans="6:11" x14ac:dyDescent="0.4">
      <c r="F486" s="54"/>
      <c r="I486" s="49"/>
      <c r="K486" s="49"/>
    </row>
    <row r="487" spans="6:11" x14ac:dyDescent="0.4">
      <c r="F487" s="54"/>
      <c r="I487" s="49"/>
      <c r="K487" s="49"/>
    </row>
    <row r="488" spans="6:11" x14ac:dyDescent="0.4">
      <c r="F488" s="54"/>
      <c r="I488" s="49"/>
      <c r="K488" s="49"/>
    </row>
    <row r="489" spans="6:11" x14ac:dyDescent="0.4">
      <c r="F489" s="54"/>
      <c r="I489" s="49"/>
      <c r="K489" s="49"/>
    </row>
    <row r="490" spans="6:11" x14ac:dyDescent="0.4">
      <c r="F490" s="54"/>
      <c r="I490" s="49"/>
      <c r="K490" s="49"/>
    </row>
    <row r="491" spans="6:11" x14ac:dyDescent="0.4">
      <c r="F491" s="54"/>
      <c r="I491" s="49"/>
      <c r="K491" s="49"/>
    </row>
    <row r="492" spans="6:11" x14ac:dyDescent="0.4">
      <c r="F492" s="54"/>
      <c r="I492" s="49"/>
      <c r="K492" s="49"/>
    </row>
    <row r="493" spans="6:11" x14ac:dyDescent="0.4">
      <c r="F493" s="54"/>
      <c r="I493" s="49"/>
      <c r="K493" s="49"/>
    </row>
    <row r="494" spans="6:11" x14ac:dyDescent="0.4">
      <c r="F494" s="54"/>
      <c r="I494" s="49"/>
      <c r="K494" s="49"/>
    </row>
    <row r="495" spans="6:11" x14ac:dyDescent="0.4">
      <c r="F495" s="54"/>
      <c r="I495" s="49"/>
      <c r="K495" s="49"/>
    </row>
    <row r="496" spans="6:11" x14ac:dyDescent="0.4">
      <c r="F496" s="54"/>
      <c r="I496" s="49"/>
      <c r="K496" s="49"/>
    </row>
    <row r="497" spans="6:11" x14ac:dyDescent="0.4">
      <c r="F497" s="54"/>
      <c r="I497" s="49"/>
      <c r="K497" s="49"/>
    </row>
    <row r="498" spans="6:11" x14ac:dyDescent="0.4">
      <c r="F498" s="54"/>
      <c r="I498" s="49"/>
      <c r="K498" s="49"/>
    </row>
    <row r="499" spans="6:11" x14ac:dyDescent="0.4">
      <c r="F499" s="54"/>
      <c r="I499" s="49"/>
      <c r="K499" s="49"/>
    </row>
    <row r="500" spans="6:11" x14ac:dyDescent="0.4">
      <c r="F500" s="54"/>
      <c r="I500" s="49"/>
      <c r="K500" s="49"/>
    </row>
    <row r="501" spans="6:11" x14ac:dyDescent="0.4">
      <c r="F501" s="54"/>
      <c r="I501" s="49"/>
      <c r="K501" s="49"/>
    </row>
    <row r="502" spans="6:11" x14ac:dyDescent="0.4">
      <c r="F502" s="54"/>
      <c r="I502" s="49"/>
      <c r="K502" s="49"/>
    </row>
    <row r="503" spans="6:11" x14ac:dyDescent="0.4">
      <c r="F503" s="54"/>
      <c r="I503" s="49"/>
      <c r="K503" s="49"/>
    </row>
    <row r="504" spans="6:11" x14ac:dyDescent="0.4">
      <c r="F504" s="54"/>
      <c r="I504" s="49"/>
      <c r="K504" s="49"/>
    </row>
    <row r="505" spans="6:11" x14ac:dyDescent="0.4">
      <c r="F505" s="54"/>
      <c r="I505" s="49"/>
      <c r="K505" s="49"/>
    </row>
    <row r="506" spans="6:11" x14ac:dyDescent="0.4">
      <c r="F506" s="54"/>
      <c r="I506" s="49"/>
      <c r="K506" s="49"/>
    </row>
    <row r="507" spans="6:11" x14ac:dyDescent="0.4">
      <c r="F507" s="54"/>
      <c r="I507" s="49"/>
      <c r="K507" s="49"/>
    </row>
    <row r="508" spans="6:11" x14ac:dyDescent="0.4">
      <c r="F508" s="54"/>
      <c r="I508" s="49"/>
      <c r="K508" s="49"/>
    </row>
    <row r="509" spans="6:11" x14ac:dyDescent="0.4">
      <c r="F509" s="54"/>
      <c r="I509" s="49"/>
      <c r="K509" s="49"/>
    </row>
    <row r="510" spans="6:11" x14ac:dyDescent="0.4">
      <c r="F510" s="54"/>
      <c r="I510" s="49"/>
      <c r="K510" s="49"/>
    </row>
    <row r="511" spans="6:11" x14ac:dyDescent="0.4">
      <c r="F511" s="54"/>
      <c r="K511" s="49"/>
    </row>
    <row r="512" spans="6:11" x14ac:dyDescent="0.4">
      <c r="F512" s="54"/>
      <c r="I512" s="49"/>
      <c r="K512" s="49"/>
    </row>
    <row r="513" spans="6:11" x14ac:dyDescent="0.4">
      <c r="F513" s="54"/>
      <c r="I513" s="49"/>
      <c r="K513" s="49"/>
    </row>
    <row r="514" spans="6:11" x14ac:dyDescent="0.4">
      <c r="F514" s="54"/>
      <c r="I514" s="49"/>
      <c r="K514" s="49"/>
    </row>
    <row r="515" spans="6:11" x14ac:dyDescent="0.4">
      <c r="F515" s="54"/>
      <c r="I515" s="49"/>
      <c r="K515" s="49"/>
    </row>
    <row r="516" spans="6:11" x14ac:dyDescent="0.4">
      <c r="F516" s="54"/>
      <c r="K516" s="49"/>
    </row>
    <row r="517" spans="6:11" x14ac:dyDescent="0.4">
      <c r="F517" s="54"/>
      <c r="I517" s="49"/>
      <c r="K517" s="49"/>
    </row>
    <row r="518" spans="6:11" x14ac:dyDescent="0.4">
      <c r="F518" s="54"/>
      <c r="K518" s="49"/>
    </row>
    <row r="519" spans="6:11" x14ac:dyDescent="0.4">
      <c r="I519" s="49"/>
      <c r="K519" s="49"/>
    </row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am8progress">
                <anchor moveWithCells="1" sizeWithCells="1">
                  <from>
                    <xdr:col>13</xdr:col>
                    <xdr:colOff>942975</xdr:colOff>
                    <xdr:row>2</xdr:row>
                    <xdr:rowOff>104775</xdr:rowOff>
                  </from>
                  <to>
                    <xdr:col>15</xdr:col>
                    <xdr:colOff>285750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I54"/>
  <sheetViews>
    <sheetView zoomScale="115" zoomScaleNormal="115" workbookViewId="0">
      <selection activeCell="A35" sqref="A35"/>
    </sheetView>
  </sheetViews>
  <sheetFormatPr defaultRowHeight="18.75" x14ac:dyDescent="0.4"/>
  <cols>
    <col min="1" max="1" width="10" style="1" bestFit="1" customWidth="1"/>
    <col min="2" max="2" width="10.375" style="1" bestFit="1" customWidth="1"/>
    <col min="3" max="3" width="13.875" style="1" customWidth="1"/>
    <col min="4" max="4" width="9" style="1" bestFit="1"/>
    <col min="5" max="6" width="10.25" style="1" bestFit="1" customWidth="1"/>
    <col min="7" max="7" width="8.125" style="1" bestFit="1" customWidth="1"/>
  </cols>
  <sheetData>
    <row r="1" spans="1:9" x14ac:dyDescent="0.4">
      <c r="B1" s="1" t="s">
        <v>86</v>
      </c>
    </row>
    <row r="2" spans="1:9" x14ac:dyDescent="0.4">
      <c r="A2" s="2"/>
      <c r="B2" s="91" t="s">
        <v>87</v>
      </c>
      <c r="C2" s="92"/>
      <c r="D2" s="92"/>
      <c r="E2" s="92"/>
      <c r="F2" s="92"/>
      <c r="G2" s="93"/>
    </row>
    <row r="3" spans="1:9" x14ac:dyDescent="0.4">
      <c r="A3" s="2"/>
      <c r="B3" s="94"/>
      <c r="C3" s="95"/>
      <c r="D3" s="95"/>
      <c r="E3" s="95"/>
      <c r="F3" s="95"/>
      <c r="G3" s="96"/>
    </row>
    <row r="4" spans="1:9" x14ac:dyDescent="0.4">
      <c r="A4" s="2"/>
      <c r="B4" s="2" t="s">
        <v>38</v>
      </c>
      <c r="C4" s="14" t="s">
        <v>11</v>
      </c>
      <c r="D4" s="14" t="s">
        <v>12</v>
      </c>
      <c r="E4" s="2" t="s">
        <v>81</v>
      </c>
      <c r="F4" s="15" t="s">
        <v>27</v>
      </c>
      <c r="G4" s="2" t="s">
        <v>15</v>
      </c>
    </row>
    <row r="5" spans="1:9" x14ac:dyDescent="0.4">
      <c r="A5" s="16">
        <f ca="1">DATE(YEAR(TODAY()), MONTH(TODAY()), 1)</f>
        <v>45778</v>
      </c>
      <c r="B5" s="17">
        <f>IFERROR(アダルト合計!C5+一般合計!C5,0)</f>
        <v>0</v>
      </c>
      <c r="C5" s="17">
        <f>B5/1.1</f>
        <v>0</v>
      </c>
      <c r="D5" s="17">
        <f>アダルト合計!E5+一般合計!E5</f>
        <v>0</v>
      </c>
      <c r="E5" s="17">
        <f>D5*1.1</f>
        <v>0</v>
      </c>
      <c r="F5" s="15">
        <f t="shared" ref="F5:F35" si="0">D5-C5</f>
        <v>0</v>
      </c>
      <c r="G5" s="18" t="e">
        <f>D5/C5</f>
        <v>#DIV/0!</v>
      </c>
    </row>
    <row r="6" spans="1:9" x14ac:dyDescent="0.4">
      <c r="A6" s="16">
        <f ca="1">IF(MONTH(A5+1)=MONTH(A5), A5+1, "")</f>
        <v>45779</v>
      </c>
      <c r="B6" s="17">
        <f>IFERROR(アダルト合計!C6+一般合計!C6,0)</f>
        <v>0</v>
      </c>
      <c r="C6" s="17">
        <f t="shared" ref="C6:C35" si="1">B6/1.1</f>
        <v>0</v>
      </c>
      <c r="D6" s="17">
        <f>アダルト合計!E6+一般合計!E6</f>
        <v>0</v>
      </c>
      <c r="E6" s="17">
        <f t="shared" ref="E6:E35" si="2">D6*1.1</f>
        <v>0</v>
      </c>
      <c r="F6" s="15">
        <f t="shared" si="0"/>
        <v>0</v>
      </c>
      <c r="G6" s="18" t="e">
        <f t="shared" ref="G6:G35" si="3">D6/C6</f>
        <v>#DIV/0!</v>
      </c>
    </row>
    <row r="7" spans="1:9" x14ac:dyDescent="0.4">
      <c r="A7" s="16">
        <f t="shared" ref="A7:A35" ca="1" si="4">IF(MONTH(A6+1)=MONTH(A6), A6+1, "")</f>
        <v>45780</v>
      </c>
      <c r="B7" s="17">
        <f>IFERROR(アダルト合計!C7+一般合計!C7,0)</f>
        <v>0</v>
      </c>
      <c r="C7" s="17">
        <f t="shared" si="1"/>
        <v>0</v>
      </c>
      <c r="D7" s="17">
        <f>アダルト合計!E7+一般合計!E7</f>
        <v>0</v>
      </c>
      <c r="E7" s="17">
        <f t="shared" si="2"/>
        <v>0</v>
      </c>
      <c r="F7" s="15">
        <f t="shared" si="0"/>
        <v>0</v>
      </c>
      <c r="G7" s="18" t="e">
        <f t="shared" si="3"/>
        <v>#DIV/0!</v>
      </c>
    </row>
    <row r="8" spans="1:9" x14ac:dyDescent="0.4">
      <c r="A8" s="16">
        <f t="shared" ca="1" si="4"/>
        <v>45781</v>
      </c>
      <c r="B8" s="17">
        <f>IFERROR(アダルト合計!C8+一般合計!C8,0)</f>
        <v>0</v>
      </c>
      <c r="C8" s="17">
        <f>B8/1.1</f>
        <v>0</v>
      </c>
      <c r="D8" s="17">
        <f>アダルト合計!E8+一般合計!E8</f>
        <v>0</v>
      </c>
      <c r="E8" s="17">
        <f>D8*1.1</f>
        <v>0</v>
      </c>
      <c r="F8" s="15">
        <f>D8-C8</f>
        <v>0</v>
      </c>
      <c r="G8" s="18" t="e">
        <f t="shared" si="3"/>
        <v>#DIV/0!</v>
      </c>
    </row>
    <row r="9" spans="1:9" x14ac:dyDescent="0.4">
      <c r="A9" s="16">
        <f t="shared" ca="1" si="4"/>
        <v>45782</v>
      </c>
      <c r="B9" s="17">
        <f>IFERROR(アダルト合計!C9+一般合計!C9,0)</f>
        <v>0</v>
      </c>
      <c r="C9" s="17">
        <f t="shared" si="1"/>
        <v>0</v>
      </c>
      <c r="D9" s="17">
        <f>アダルト合計!E9+一般合計!E9</f>
        <v>0</v>
      </c>
      <c r="E9" s="17">
        <f t="shared" si="2"/>
        <v>0</v>
      </c>
      <c r="F9" s="15">
        <f t="shared" si="0"/>
        <v>0</v>
      </c>
      <c r="G9" s="18" t="e">
        <f t="shared" si="3"/>
        <v>#DIV/0!</v>
      </c>
    </row>
    <row r="10" spans="1:9" x14ac:dyDescent="0.4">
      <c r="A10" s="16">
        <f t="shared" ca="1" si="4"/>
        <v>45783</v>
      </c>
      <c r="B10" s="17">
        <f>IFERROR(アダルト合計!C10+一般合計!C10,0)</f>
        <v>0</v>
      </c>
      <c r="C10" s="17">
        <f t="shared" si="1"/>
        <v>0</v>
      </c>
      <c r="D10" s="17">
        <f>アダルト合計!E10+一般合計!E10</f>
        <v>0</v>
      </c>
      <c r="E10" s="17">
        <f t="shared" si="2"/>
        <v>0</v>
      </c>
      <c r="F10" s="15">
        <f>D10-C10</f>
        <v>0</v>
      </c>
      <c r="G10" s="18" t="e">
        <f t="shared" si="3"/>
        <v>#DIV/0!</v>
      </c>
    </row>
    <row r="11" spans="1:9" x14ac:dyDescent="0.4">
      <c r="A11" s="16">
        <f t="shared" ca="1" si="4"/>
        <v>45784</v>
      </c>
      <c r="B11" s="17">
        <f>IFERROR(アダルト合計!C11+一般合計!C11,0)</f>
        <v>0</v>
      </c>
      <c r="C11" s="17">
        <f t="shared" si="1"/>
        <v>0</v>
      </c>
      <c r="D11" s="17">
        <f>アダルト合計!E11+一般合計!E11</f>
        <v>0</v>
      </c>
      <c r="E11" s="17">
        <f t="shared" si="2"/>
        <v>0</v>
      </c>
      <c r="F11" s="15">
        <f t="shared" si="0"/>
        <v>0</v>
      </c>
      <c r="G11" s="18" t="e">
        <f t="shared" si="3"/>
        <v>#DIV/0!</v>
      </c>
    </row>
    <row r="12" spans="1:9" x14ac:dyDescent="0.4">
      <c r="A12" s="16">
        <f t="shared" ca="1" si="4"/>
        <v>45785</v>
      </c>
      <c r="B12" s="17">
        <f>IFERROR(アダルト合計!C12+一般合計!C12,0)</f>
        <v>0</v>
      </c>
      <c r="C12" s="17">
        <f t="shared" si="1"/>
        <v>0</v>
      </c>
      <c r="D12" s="17">
        <f>アダルト合計!E12+一般合計!E12</f>
        <v>0</v>
      </c>
      <c r="E12" s="17">
        <f t="shared" si="2"/>
        <v>0</v>
      </c>
      <c r="F12" s="15">
        <f t="shared" si="0"/>
        <v>0</v>
      </c>
      <c r="G12" s="18" t="e">
        <f t="shared" si="3"/>
        <v>#DIV/0!</v>
      </c>
    </row>
    <row r="13" spans="1:9" x14ac:dyDescent="0.4">
      <c r="A13" s="16">
        <f t="shared" ca="1" si="4"/>
        <v>45786</v>
      </c>
      <c r="B13" s="17">
        <f>IFERROR(アダルト合計!C13+一般合計!C13,0)</f>
        <v>0</v>
      </c>
      <c r="C13" s="17">
        <f t="shared" si="1"/>
        <v>0</v>
      </c>
      <c r="D13" s="17">
        <f>アダルト合計!E13+一般合計!E13</f>
        <v>0</v>
      </c>
      <c r="E13" s="17">
        <f t="shared" si="2"/>
        <v>0</v>
      </c>
      <c r="F13" s="15">
        <f t="shared" si="0"/>
        <v>0</v>
      </c>
      <c r="G13" s="18" t="e">
        <f t="shared" si="3"/>
        <v>#DIV/0!</v>
      </c>
    </row>
    <row r="14" spans="1:9" x14ac:dyDescent="0.4">
      <c r="A14" s="16">
        <f t="shared" ca="1" si="4"/>
        <v>45787</v>
      </c>
      <c r="B14" s="17">
        <f>IFERROR(アダルト合計!C14+一般合計!C14,0)</f>
        <v>0</v>
      </c>
      <c r="C14" s="17">
        <f t="shared" si="1"/>
        <v>0</v>
      </c>
      <c r="D14" s="17">
        <f>アダルト合計!E14+一般合計!E14</f>
        <v>0</v>
      </c>
      <c r="E14" s="17">
        <f t="shared" si="2"/>
        <v>0</v>
      </c>
      <c r="F14" s="15">
        <f t="shared" si="0"/>
        <v>0</v>
      </c>
      <c r="G14" s="18" t="e">
        <f t="shared" si="3"/>
        <v>#DIV/0!</v>
      </c>
      <c r="I14" s="35"/>
    </row>
    <row r="15" spans="1:9" x14ac:dyDescent="0.4">
      <c r="A15" s="16">
        <f t="shared" ca="1" si="4"/>
        <v>45788</v>
      </c>
      <c r="B15" s="17">
        <f>IFERROR(アダルト合計!C15+一般合計!C15,0)</f>
        <v>0</v>
      </c>
      <c r="C15" s="17">
        <f t="shared" si="1"/>
        <v>0</v>
      </c>
      <c r="D15" s="17">
        <f>アダルト合計!E15+一般合計!E15</f>
        <v>0</v>
      </c>
      <c r="E15" s="17">
        <f t="shared" si="2"/>
        <v>0</v>
      </c>
      <c r="F15" s="15">
        <f t="shared" si="0"/>
        <v>0</v>
      </c>
      <c r="G15" s="18" t="e">
        <f t="shared" si="3"/>
        <v>#DIV/0!</v>
      </c>
      <c r="I15" s="35"/>
    </row>
    <row r="16" spans="1:9" x14ac:dyDescent="0.4">
      <c r="A16" s="16">
        <f t="shared" ca="1" si="4"/>
        <v>45789</v>
      </c>
      <c r="B16" s="17">
        <f>IFERROR(アダルト合計!C16+一般合計!C16,0)</f>
        <v>0</v>
      </c>
      <c r="C16" s="17">
        <f t="shared" si="1"/>
        <v>0</v>
      </c>
      <c r="D16" s="17">
        <f>アダルト合計!E16+一般合計!E16</f>
        <v>0</v>
      </c>
      <c r="E16" s="17">
        <f t="shared" si="2"/>
        <v>0</v>
      </c>
      <c r="F16" s="15">
        <f t="shared" si="0"/>
        <v>0</v>
      </c>
      <c r="G16" s="18" t="e">
        <f t="shared" si="3"/>
        <v>#DIV/0!</v>
      </c>
    </row>
    <row r="17" spans="1:7" x14ac:dyDescent="0.4">
      <c r="A17" s="16">
        <f t="shared" ca="1" si="4"/>
        <v>45790</v>
      </c>
      <c r="B17" s="17">
        <f>IFERROR(アダルト合計!C17+一般合計!C17,0)</f>
        <v>0</v>
      </c>
      <c r="C17" s="17">
        <f t="shared" si="1"/>
        <v>0</v>
      </c>
      <c r="D17" s="17">
        <f>アダルト合計!E17+一般合計!E17</f>
        <v>0</v>
      </c>
      <c r="E17" s="17">
        <f t="shared" si="2"/>
        <v>0</v>
      </c>
      <c r="F17" s="15">
        <f>D17-C17</f>
        <v>0</v>
      </c>
      <c r="G17" s="18" t="e">
        <f t="shared" si="3"/>
        <v>#DIV/0!</v>
      </c>
    </row>
    <row r="18" spans="1:7" x14ac:dyDescent="0.4">
      <c r="A18" s="16">
        <f t="shared" ca="1" si="4"/>
        <v>45791</v>
      </c>
      <c r="B18" s="17">
        <f>IFERROR(アダルト合計!C18+一般合計!C18,0)</f>
        <v>0</v>
      </c>
      <c r="C18" s="17">
        <f t="shared" si="1"/>
        <v>0</v>
      </c>
      <c r="D18" s="17">
        <f>アダルト合計!E18+一般合計!E18</f>
        <v>0</v>
      </c>
      <c r="E18" s="17">
        <f t="shared" si="2"/>
        <v>0</v>
      </c>
      <c r="F18" s="15">
        <f t="shared" si="0"/>
        <v>0</v>
      </c>
      <c r="G18" s="18" t="e">
        <f t="shared" si="3"/>
        <v>#DIV/0!</v>
      </c>
    </row>
    <row r="19" spans="1:7" x14ac:dyDescent="0.4">
      <c r="A19" s="16">
        <f t="shared" ca="1" si="4"/>
        <v>45792</v>
      </c>
      <c r="B19" s="17">
        <f>IFERROR(アダルト合計!C19+一般合計!C19,0)</f>
        <v>0</v>
      </c>
      <c r="C19" s="17">
        <f t="shared" si="1"/>
        <v>0</v>
      </c>
      <c r="D19" s="17">
        <f>アダルト合計!E19+一般合計!E19</f>
        <v>0</v>
      </c>
      <c r="E19" s="17">
        <f t="shared" si="2"/>
        <v>0</v>
      </c>
      <c r="F19" s="15">
        <f t="shared" si="0"/>
        <v>0</v>
      </c>
      <c r="G19" s="18" t="e">
        <f t="shared" si="3"/>
        <v>#DIV/0!</v>
      </c>
    </row>
    <row r="20" spans="1:7" x14ac:dyDescent="0.4">
      <c r="A20" s="16">
        <f t="shared" ca="1" si="4"/>
        <v>45793</v>
      </c>
      <c r="B20" s="17">
        <f>IFERROR(アダルト合計!C20+一般合計!C20,0)</f>
        <v>0</v>
      </c>
      <c r="C20" s="17">
        <f t="shared" si="1"/>
        <v>0</v>
      </c>
      <c r="D20" s="17">
        <f>アダルト合計!E20+一般合計!E20</f>
        <v>0</v>
      </c>
      <c r="E20" s="17">
        <f t="shared" si="2"/>
        <v>0</v>
      </c>
      <c r="F20" s="15">
        <f>D20-C20</f>
        <v>0</v>
      </c>
      <c r="G20" s="18" t="e">
        <f t="shared" si="3"/>
        <v>#DIV/0!</v>
      </c>
    </row>
    <row r="21" spans="1:7" x14ac:dyDescent="0.4">
      <c r="A21" s="16">
        <f t="shared" ca="1" si="4"/>
        <v>45794</v>
      </c>
      <c r="B21" s="17">
        <f>IFERROR(アダルト合計!C21+一般合計!C21,0)</f>
        <v>0</v>
      </c>
      <c r="C21" s="17">
        <f t="shared" si="1"/>
        <v>0</v>
      </c>
      <c r="D21" s="17">
        <f>アダルト合計!E21+一般合計!E21</f>
        <v>0</v>
      </c>
      <c r="E21" s="17">
        <f t="shared" si="2"/>
        <v>0</v>
      </c>
      <c r="F21" s="15">
        <f t="shared" si="0"/>
        <v>0</v>
      </c>
      <c r="G21" s="18" t="e">
        <f t="shared" si="3"/>
        <v>#DIV/0!</v>
      </c>
    </row>
    <row r="22" spans="1:7" x14ac:dyDescent="0.4">
      <c r="A22" s="16">
        <f t="shared" ca="1" si="4"/>
        <v>45795</v>
      </c>
      <c r="B22" s="17">
        <f>IFERROR(アダルト合計!C22+一般合計!C22,0)</f>
        <v>0</v>
      </c>
      <c r="C22" s="17">
        <f t="shared" si="1"/>
        <v>0</v>
      </c>
      <c r="D22" s="17">
        <f>アダルト合計!E22+一般合計!E22</f>
        <v>0</v>
      </c>
      <c r="E22" s="17">
        <f t="shared" si="2"/>
        <v>0</v>
      </c>
      <c r="F22" s="15">
        <f t="shared" si="0"/>
        <v>0</v>
      </c>
      <c r="G22" s="18" t="e">
        <f t="shared" si="3"/>
        <v>#DIV/0!</v>
      </c>
    </row>
    <row r="23" spans="1:7" x14ac:dyDescent="0.4">
      <c r="A23" s="16">
        <f t="shared" ca="1" si="4"/>
        <v>45796</v>
      </c>
      <c r="B23" s="17">
        <f>IFERROR(アダルト合計!C23+一般合計!C23,0)</f>
        <v>0</v>
      </c>
      <c r="C23" s="17">
        <f t="shared" si="1"/>
        <v>0</v>
      </c>
      <c r="D23" s="17">
        <f>アダルト合計!E23+一般合計!E23</f>
        <v>0</v>
      </c>
      <c r="E23" s="17">
        <f t="shared" si="2"/>
        <v>0</v>
      </c>
      <c r="F23" s="15">
        <f t="shared" si="0"/>
        <v>0</v>
      </c>
      <c r="G23" s="18" t="e">
        <f t="shared" si="3"/>
        <v>#DIV/0!</v>
      </c>
    </row>
    <row r="24" spans="1:7" x14ac:dyDescent="0.4">
      <c r="A24" s="16">
        <f t="shared" ca="1" si="4"/>
        <v>45797</v>
      </c>
      <c r="B24" s="17">
        <f>IFERROR(アダルト合計!C24+一般合計!C24,0)</f>
        <v>0</v>
      </c>
      <c r="C24" s="17">
        <f t="shared" si="1"/>
        <v>0</v>
      </c>
      <c r="D24" s="17">
        <f>アダルト合計!E24+一般合計!E24</f>
        <v>0</v>
      </c>
      <c r="E24" s="17">
        <f t="shared" si="2"/>
        <v>0</v>
      </c>
      <c r="F24" s="15">
        <f t="shared" si="0"/>
        <v>0</v>
      </c>
      <c r="G24" s="18" t="e">
        <f t="shared" si="3"/>
        <v>#DIV/0!</v>
      </c>
    </row>
    <row r="25" spans="1:7" x14ac:dyDescent="0.4">
      <c r="A25" s="16">
        <f t="shared" ca="1" si="4"/>
        <v>45798</v>
      </c>
      <c r="B25" s="17">
        <f>IFERROR(アダルト合計!C25+一般合計!C25,0)</f>
        <v>0</v>
      </c>
      <c r="C25" s="17">
        <f t="shared" si="1"/>
        <v>0</v>
      </c>
      <c r="D25" s="17">
        <f>アダルト合計!E25+一般合計!E25</f>
        <v>0</v>
      </c>
      <c r="E25" s="17">
        <f t="shared" si="2"/>
        <v>0</v>
      </c>
      <c r="F25" s="15">
        <f t="shared" si="0"/>
        <v>0</v>
      </c>
      <c r="G25" s="18" t="e">
        <f t="shared" si="3"/>
        <v>#DIV/0!</v>
      </c>
    </row>
    <row r="26" spans="1:7" x14ac:dyDescent="0.4">
      <c r="A26" s="16">
        <f t="shared" ca="1" si="4"/>
        <v>45799</v>
      </c>
      <c r="B26" s="17">
        <f>IFERROR(アダルト合計!C26+一般合計!C26,0)</f>
        <v>0</v>
      </c>
      <c r="C26" s="17">
        <f t="shared" si="1"/>
        <v>0</v>
      </c>
      <c r="D26" s="17">
        <f>アダルト合計!E26+一般合計!E26</f>
        <v>0</v>
      </c>
      <c r="E26" s="17">
        <f t="shared" si="2"/>
        <v>0</v>
      </c>
      <c r="F26" s="15">
        <f t="shared" si="0"/>
        <v>0</v>
      </c>
      <c r="G26" s="18" t="e">
        <f t="shared" si="3"/>
        <v>#DIV/0!</v>
      </c>
    </row>
    <row r="27" spans="1:7" x14ac:dyDescent="0.4">
      <c r="A27" s="16">
        <f t="shared" ca="1" si="4"/>
        <v>45800</v>
      </c>
      <c r="B27" s="17">
        <f>IFERROR(アダルト合計!C27+一般合計!C27,0)</f>
        <v>0</v>
      </c>
      <c r="C27" s="17">
        <f t="shared" si="1"/>
        <v>0</v>
      </c>
      <c r="D27" s="17">
        <f>アダルト合計!E27+一般合計!E27</f>
        <v>0</v>
      </c>
      <c r="E27" s="17">
        <f t="shared" si="2"/>
        <v>0</v>
      </c>
      <c r="F27" s="15">
        <f t="shared" si="0"/>
        <v>0</v>
      </c>
      <c r="G27" s="18" t="e">
        <f t="shared" si="3"/>
        <v>#DIV/0!</v>
      </c>
    </row>
    <row r="28" spans="1:7" x14ac:dyDescent="0.4">
      <c r="A28" s="16">
        <f t="shared" ca="1" si="4"/>
        <v>45801</v>
      </c>
      <c r="B28" s="17">
        <f>IFERROR(アダルト合計!C28+一般合計!C28,0)</f>
        <v>0</v>
      </c>
      <c r="C28" s="17">
        <f t="shared" si="1"/>
        <v>0</v>
      </c>
      <c r="D28" s="17">
        <f>アダルト合計!E28+一般合計!E28</f>
        <v>0</v>
      </c>
      <c r="E28" s="17">
        <f t="shared" si="2"/>
        <v>0</v>
      </c>
      <c r="F28" s="15">
        <f t="shared" si="0"/>
        <v>0</v>
      </c>
      <c r="G28" s="18" t="e">
        <f t="shared" si="3"/>
        <v>#DIV/0!</v>
      </c>
    </row>
    <row r="29" spans="1:7" x14ac:dyDescent="0.4">
      <c r="A29" s="16">
        <f t="shared" ca="1" si="4"/>
        <v>45802</v>
      </c>
      <c r="B29" s="17">
        <f>IFERROR(アダルト合計!C29+一般合計!C29,0)</f>
        <v>0</v>
      </c>
      <c r="C29" s="17">
        <f t="shared" si="1"/>
        <v>0</v>
      </c>
      <c r="D29" s="17">
        <f>アダルト合計!E29+一般合計!E29</f>
        <v>0</v>
      </c>
      <c r="E29" s="17">
        <f t="shared" si="2"/>
        <v>0</v>
      </c>
      <c r="F29" s="15">
        <f t="shared" si="0"/>
        <v>0</v>
      </c>
      <c r="G29" s="18" t="e">
        <f t="shared" si="3"/>
        <v>#DIV/0!</v>
      </c>
    </row>
    <row r="30" spans="1:7" x14ac:dyDescent="0.4">
      <c r="A30" s="16">
        <f t="shared" ca="1" si="4"/>
        <v>45803</v>
      </c>
      <c r="B30" s="17">
        <f>IFERROR(アダルト合計!C30+一般合計!C30,0)</f>
        <v>0</v>
      </c>
      <c r="C30" s="17">
        <f t="shared" si="1"/>
        <v>0</v>
      </c>
      <c r="D30" s="17">
        <f>アダルト合計!E30+一般合計!E30</f>
        <v>0</v>
      </c>
      <c r="E30" s="17">
        <f t="shared" si="2"/>
        <v>0</v>
      </c>
      <c r="F30" s="15">
        <f t="shared" si="0"/>
        <v>0</v>
      </c>
      <c r="G30" s="18" t="e">
        <f t="shared" si="3"/>
        <v>#DIV/0!</v>
      </c>
    </row>
    <row r="31" spans="1:7" x14ac:dyDescent="0.4">
      <c r="A31" s="16">
        <f t="shared" ca="1" si="4"/>
        <v>45804</v>
      </c>
      <c r="B31" s="17">
        <f>IFERROR(アダルト合計!C31+一般合計!C31,0)</f>
        <v>0</v>
      </c>
      <c r="C31" s="17">
        <f t="shared" si="1"/>
        <v>0</v>
      </c>
      <c r="D31" s="17">
        <f>アダルト合計!E31+一般合計!E31</f>
        <v>0</v>
      </c>
      <c r="E31" s="17">
        <f t="shared" si="2"/>
        <v>0</v>
      </c>
      <c r="F31" s="15">
        <f t="shared" si="0"/>
        <v>0</v>
      </c>
      <c r="G31" s="18" t="e">
        <f t="shared" si="3"/>
        <v>#DIV/0!</v>
      </c>
    </row>
    <row r="32" spans="1:7" x14ac:dyDescent="0.4">
      <c r="A32" s="16">
        <f t="shared" ca="1" si="4"/>
        <v>45805</v>
      </c>
      <c r="B32" s="17">
        <f>IFERROR(アダルト合計!C32+一般合計!C32,0)</f>
        <v>0</v>
      </c>
      <c r="C32" s="17">
        <f t="shared" si="1"/>
        <v>0</v>
      </c>
      <c r="D32" s="17">
        <f>アダルト合計!E32+一般合計!E32</f>
        <v>0</v>
      </c>
      <c r="E32" s="17">
        <f t="shared" si="2"/>
        <v>0</v>
      </c>
      <c r="F32" s="15">
        <f t="shared" si="0"/>
        <v>0</v>
      </c>
      <c r="G32" s="18" t="e">
        <f t="shared" si="3"/>
        <v>#DIV/0!</v>
      </c>
    </row>
    <row r="33" spans="1:7" x14ac:dyDescent="0.4">
      <c r="A33" s="16">
        <f t="shared" ca="1" si="4"/>
        <v>45806</v>
      </c>
      <c r="B33" s="17">
        <f>IFERROR(アダルト合計!C33+一般合計!C33,0)</f>
        <v>0</v>
      </c>
      <c r="C33" s="17">
        <f t="shared" si="1"/>
        <v>0</v>
      </c>
      <c r="D33" s="17">
        <f>アダルト合計!E33+一般合計!E33</f>
        <v>0</v>
      </c>
      <c r="E33" s="17">
        <f t="shared" si="2"/>
        <v>0</v>
      </c>
      <c r="F33" s="15">
        <f t="shared" si="0"/>
        <v>0</v>
      </c>
      <c r="G33" s="18" t="e">
        <f t="shared" si="3"/>
        <v>#DIV/0!</v>
      </c>
    </row>
    <row r="34" spans="1:7" x14ac:dyDescent="0.4">
      <c r="A34" s="16">
        <f t="shared" ca="1" si="4"/>
        <v>45807</v>
      </c>
      <c r="B34" s="17">
        <f>IFERROR(アダルト合計!C34+一般合計!C34,0)</f>
        <v>0</v>
      </c>
      <c r="C34" s="17">
        <f t="shared" si="1"/>
        <v>0</v>
      </c>
      <c r="D34" s="17">
        <f>アダルト合計!E34+一般合計!E34</f>
        <v>0</v>
      </c>
      <c r="E34" s="17">
        <f t="shared" si="2"/>
        <v>0</v>
      </c>
      <c r="F34" s="15">
        <f t="shared" si="0"/>
        <v>0</v>
      </c>
      <c r="G34" s="18" t="e">
        <f t="shared" si="3"/>
        <v>#DIV/0!</v>
      </c>
    </row>
    <row r="35" spans="1:7" x14ac:dyDescent="0.4">
      <c r="A35" s="16">
        <f t="shared" ca="1" si="4"/>
        <v>45808</v>
      </c>
      <c r="B35" s="17">
        <f>IFERROR(アダルト合計!C35+一般合計!C35,0)</f>
        <v>0</v>
      </c>
      <c r="C35" s="17">
        <f t="shared" si="1"/>
        <v>0</v>
      </c>
      <c r="D35" s="17">
        <f>アダルト合計!E35+一般合計!E35</f>
        <v>0</v>
      </c>
      <c r="E35" s="17">
        <f t="shared" si="2"/>
        <v>0</v>
      </c>
      <c r="F35" s="15">
        <f t="shared" si="0"/>
        <v>0</v>
      </c>
      <c r="G35" s="18" t="e">
        <f t="shared" si="3"/>
        <v>#DIV/0!</v>
      </c>
    </row>
    <row r="36" spans="1:7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SUMIF(D5:D35,"&lt;&gt;#VALUE!")</f>
        <v>0</v>
      </c>
      <c r="E36" s="47">
        <f>D36*1.1</f>
        <v>0</v>
      </c>
      <c r="F36" s="15">
        <f>D36-C36</f>
        <v>0</v>
      </c>
      <c r="G36" s="18" t="e">
        <f>D36/C36</f>
        <v>#DIV/0!</v>
      </c>
    </row>
    <row r="37" spans="1:7" x14ac:dyDescent="0.4">
      <c r="B37" s="24"/>
    </row>
    <row r="45" spans="1:7" x14ac:dyDescent="0.4">
      <c r="C45" s="27"/>
      <c r="G45" s="27"/>
    </row>
    <row r="46" spans="1:7" x14ac:dyDescent="0.4">
      <c r="G46" s="27"/>
    </row>
    <row r="47" spans="1:7" x14ac:dyDescent="0.4">
      <c r="G47" s="27"/>
    </row>
    <row r="48" spans="1:7" x14ac:dyDescent="0.4">
      <c r="G48" s="27"/>
    </row>
    <row r="49" spans="7:7" x14ac:dyDescent="0.4">
      <c r="G49" s="27"/>
    </row>
    <row r="51" spans="7:7" x14ac:dyDescent="0.4">
      <c r="G51" s="27"/>
    </row>
    <row r="53" spans="7:7" x14ac:dyDescent="0.4">
      <c r="G53" s="27"/>
    </row>
    <row r="54" spans="7:7" x14ac:dyDescent="0.4">
      <c r="G54" s="27"/>
    </row>
  </sheetData>
  <mergeCells count="1">
    <mergeCell ref="B2:G3"/>
  </mergeCells>
  <phoneticPr fontId="3"/>
  <conditionalFormatting sqref="A5:A35">
    <cfRule type="expression" dxfId="43" priority="1">
      <formula>WEEKDAY(A5)=7</formula>
    </cfRule>
    <cfRule type="expression" dxfId="42" priority="2">
      <formula>WEEKDAY(A5)=1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79998168889431442"/>
  </sheetPr>
  <dimension ref="B2:H36"/>
  <sheetViews>
    <sheetView workbookViewId="0">
      <selection activeCell="H5" sqref="H5"/>
    </sheetView>
  </sheetViews>
  <sheetFormatPr defaultRowHeight="18.75" x14ac:dyDescent="0.4"/>
  <cols>
    <col min="3" max="3" width="10.375" bestFit="1" customWidth="1"/>
    <col min="4" max="4" width="13.875" bestFit="1" customWidth="1"/>
    <col min="7" max="7" width="10.25" bestFit="1" customWidth="1"/>
  </cols>
  <sheetData>
    <row r="2" spans="2:8" x14ac:dyDescent="0.4">
      <c r="B2" s="2"/>
      <c r="C2" s="97" t="s">
        <v>85</v>
      </c>
      <c r="D2" s="98"/>
      <c r="E2" s="98"/>
      <c r="F2" s="98"/>
      <c r="G2" s="98"/>
      <c r="H2" s="99"/>
    </row>
    <row r="3" spans="2:8" x14ac:dyDescent="0.4">
      <c r="B3" s="2"/>
      <c r="C3" s="100"/>
      <c r="D3" s="101"/>
      <c r="E3" s="101"/>
      <c r="F3" s="101"/>
      <c r="G3" s="101"/>
      <c r="H3" s="102"/>
    </row>
    <row r="4" spans="2:8" x14ac:dyDescent="0.4">
      <c r="B4" s="2"/>
      <c r="C4" s="2" t="s">
        <v>38</v>
      </c>
      <c r="D4" s="14" t="s">
        <v>11</v>
      </c>
      <c r="E4" s="14" t="s">
        <v>12</v>
      </c>
      <c r="F4" s="2" t="s">
        <v>81</v>
      </c>
      <c r="G4" s="15" t="s">
        <v>27</v>
      </c>
      <c r="H4" s="2" t="s">
        <v>15</v>
      </c>
    </row>
    <row r="5" spans="2:8" x14ac:dyDescent="0.4">
      <c r="B5" s="16">
        <f ca="1">合計!$A5</f>
        <v>45778</v>
      </c>
      <c r="C5" s="17">
        <f>IFERROR(アプリ!B5+アダルトその他!B5,0)</f>
        <v>0</v>
      </c>
      <c r="D5" s="17">
        <f>C5/1.1</f>
        <v>0</v>
      </c>
      <c r="E5" s="17">
        <f>アプリ!D5+アプリ!I5+アプリ!J5+アダルトその他!D5</f>
        <v>0</v>
      </c>
      <c r="F5" s="17">
        <f>E5*1.1</f>
        <v>0</v>
      </c>
      <c r="G5" s="15">
        <f>E5-D5</f>
        <v>0</v>
      </c>
      <c r="H5" s="18" t="e">
        <f>E5/D5</f>
        <v>#DIV/0!</v>
      </c>
    </row>
    <row r="6" spans="2:8" x14ac:dyDescent="0.4">
      <c r="B6" s="16">
        <f ca="1">合計!$A6</f>
        <v>45779</v>
      </c>
      <c r="C6" s="17">
        <f>IFERROR(アプリ!B6+アダルトその他!B6,0)</f>
        <v>0</v>
      </c>
      <c r="D6" s="17">
        <f t="shared" ref="D6:D35" si="0">C6/1.1</f>
        <v>0</v>
      </c>
      <c r="E6" s="17">
        <f>アプリ!D6+アプリ!I6+アプリ!J6+アダルトその他!D6</f>
        <v>0</v>
      </c>
      <c r="F6" s="17">
        <f t="shared" ref="F6:F35" si="1">E6*1.1</f>
        <v>0</v>
      </c>
      <c r="G6" s="15">
        <f t="shared" ref="G6:G35" si="2">E6-D6</f>
        <v>0</v>
      </c>
      <c r="H6" s="18" t="e">
        <f t="shared" ref="H6:H35" si="3">E6/D6</f>
        <v>#DIV/0!</v>
      </c>
    </row>
    <row r="7" spans="2:8" x14ac:dyDescent="0.4">
      <c r="B7" s="16">
        <f ca="1">合計!$A7</f>
        <v>45780</v>
      </c>
      <c r="C7" s="17">
        <f>IFERROR(アプリ!B7+アダルトその他!B7,0)</f>
        <v>0</v>
      </c>
      <c r="D7" s="17">
        <f t="shared" si="0"/>
        <v>0</v>
      </c>
      <c r="E7" s="17">
        <f>アプリ!D7+アプリ!I7+アプリ!J7+アダルトその他!D7</f>
        <v>0</v>
      </c>
      <c r="F7" s="17">
        <f t="shared" si="1"/>
        <v>0</v>
      </c>
      <c r="G7" s="15">
        <f t="shared" si="2"/>
        <v>0</v>
      </c>
      <c r="H7" s="18" t="e">
        <f t="shared" si="3"/>
        <v>#DIV/0!</v>
      </c>
    </row>
    <row r="8" spans="2:8" x14ac:dyDescent="0.4">
      <c r="B8" s="16">
        <f ca="1">合計!$A8</f>
        <v>45781</v>
      </c>
      <c r="C8" s="17">
        <f>IFERROR(アプリ!B8+アダルトその他!B8,0)</f>
        <v>0</v>
      </c>
      <c r="D8" s="17">
        <f>C8/1.1</f>
        <v>0</v>
      </c>
      <c r="E8" s="17">
        <f>アプリ!D8+アプリ!I8+アプリ!J8+アダルトその他!D8</f>
        <v>0</v>
      </c>
      <c r="F8" s="17">
        <f>E8*1.1</f>
        <v>0</v>
      </c>
      <c r="G8" s="15">
        <f>E8-D8</f>
        <v>0</v>
      </c>
      <c r="H8" s="18" t="e">
        <f t="shared" si="3"/>
        <v>#DIV/0!</v>
      </c>
    </row>
    <row r="9" spans="2:8" x14ac:dyDescent="0.4">
      <c r="B9" s="16">
        <f ca="1">合計!$A9</f>
        <v>45782</v>
      </c>
      <c r="C9" s="17">
        <f>IFERROR(アプリ!B9+アダルトその他!B9,0)</f>
        <v>0</v>
      </c>
      <c r="D9" s="17">
        <f t="shared" si="0"/>
        <v>0</v>
      </c>
      <c r="E9" s="17">
        <f>アプリ!D9+アプリ!I9+アプリ!J9+アダルトその他!D9</f>
        <v>0</v>
      </c>
      <c r="F9" s="17">
        <f t="shared" si="1"/>
        <v>0</v>
      </c>
      <c r="G9" s="15">
        <f t="shared" si="2"/>
        <v>0</v>
      </c>
      <c r="H9" s="18" t="e">
        <f t="shared" si="3"/>
        <v>#DIV/0!</v>
      </c>
    </row>
    <row r="10" spans="2:8" x14ac:dyDescent="0.4">
      <c r="B10" s="16">
        <f ca="1">合計!$A10</f>
        <v>45783</v>
      </c>
      <c r="C10" s="17">
        <f>IFERROR(アプリ!B10+アダルトその他!B10,0)</f>
        <v>0</v>
      </c>
      <c r="D10" s="17">
        <f t="shared" si="0"/>
        <v>0</v>
      </c>
      <c r="E10" s="17">
        <f>アプリ!D10+アプリ!I10+アプリ!J10+アダルトその他!D10</f>
        <v>0</v>
      </c>
      <c r="F10" s="17">
        <f t="shared" si="1"/>
        <v>0</v>
      </c>
      <c r="G10" s="15">
        <f t="shared" si="2"/>
        <v>0</v>
      </c>
      <c r="H10" s="18" t="e">
        <f t="shared" si="3"/>
        <v>#DIV/0!</v>
      </c>
    </row>
    <row r="11" spans="2:8" x14ac:dyDescent="0.4">
      <c r="B11" s="16">
        <f ca="1">合計!$A11</f>
        <v>45784</v>
      </c>
      <c r="C11" s="17">
        <f>IFERROR(アプリ!B11+アダルトその他!B11,0)</f>
        <v>0</v>
      </c>
      <c r="D11" s="17">
        <f t="shared" si="0"/>
        <v>0</v>
      </c>
      <c r="E11" s="17">
        <f>アプリ!D11+アプリ!I11+アプリ!J11+アダルトその他!D11</f>
        <v>0</v>
      </c>
      <c r="F11" s="17">
        <f t="shared" si="1"/>
        <v>0</v>
      </c>
      <c r="G11" s="15">
        <f t="shared" si="2"/>
        <v>0</v>
      </c>
      <c r="H11" s="18" t="e">
        <f t="shared" si="3"/>
        <v>#DIV/0!</v>
      </c>
    </row>
    <row r="12" spans="2:8" x14ac:dyDescent="0.4">
      <c r="B12" s="16">
        <f ca="1">合計!$A12</f>
        <v>45785</v>
      </c>
      <c r="C12" s="17">
        <f>IFERROR(アプリ!B12+アダルトその他!B12,0)</f>
        <v>0</v>
      </c>
      <c r="D12" s="17">
        <f t="shared" si="0"/>
        <v>0</v>
      </c>
      <c r="E12" s="17">
        <f>アプリ!D12+アプリ!I12+アプリ!J12+アダルトその他!D12</f>
        <v>0</v>
      </c>
      <c r="F12" s="17">
        <f t="shared" si="1"/>
        <v>0</v>
      </c>
      <c r="G12" s="15">
        <f t="shared" si="2"/>
        <v>0</v>
      </c>
      <c r="H12" s="18" t="e">
        <f t="shared" si="3"/>
        <v>#DIV/0!</v>
      </c>
    </row>
    <row r="13" spans="2:8" x14ac:dyDescent="0.4">
      <c r="B13" s="16">
        <f ca="1">合計!$A13</f>
        <v>45786</v>
      </c>
      <c r="C13" s="17">
        <f>IFERROR(アプリ!B13+アダルトその他!B13,0)</f>
        <v>0</v>
      </c>
      <c r="D13" s="17">
        <f t="shared" si="0"/>
        <v>0</v>
      </c>
      <c r="E13" s="17">
        <f>アプリ!D13+アプリ!I13+アプリ!J13+アダルトその他!D13</f>
        <v>0</v>
      </c>
      <c r="F13" s="17">
        <f t="shared" si="1"/>
        <v>0</v>
      </c>
      <c r="G13" s="15">
        <f t="shared" si="2"/>
        <v>0</v>
      </c>
      <c r="H13" s="18" t="e">
        <f t="shared" si="3"/>
        <v>#DIV/0!</v>
      </c>
    </row>
    <row r="14" spans="2:8" x14ac:dyDescent="0.4">
      <c r="B14" s="16">
        <f ca="1">合計!$A14</f>
        <v>45787</v>
      </c>
      <c r="C14" s="17">
        <f>IFERROR(アプリ!B14+アダルトその他!B14,0)</f>
        <v>0</v>
      </c>
      <c r="D14" s="17">
        <f t="shared" si="0"/>
        <v>0</v>
      </c>
      <c r="E14" s="17">
        <f>アプリ!D14+アプリ!I14+アプリ!J14+アダルトその他!D14</f>
        <v>0</v>
      </c>
      <c r="F14" s="17">
        <f t="shared" si="1"/>
        <v>0</v>
      </c>
      <c r="G14" s="15">
        <f t="shared" si="2"/>
        <v>0</v>
      </c>
      <c r="H14" s="18" t="e">
        <f t="shared" si="3"/>
        <v>#DIV/0!</v>
      </c>
    </row>
    <row r="15" spans="2:8" x14ac:dyDescent="0.4">
      <c r="B15" s="16">
        <f ca="1">合計!$A15</f>
        <v>45788</v>
      </c>
      <c r="C15" s="17">
        <f>IFERROR(アプリ!B15+アダルトその他!B15,0)</f>
        <v>0</v>
      </c>
      <c r="D15" s="17">
        <f t="shared" si="0"/>
        <v>0</v>
      </c>
      <c r="E15" s="17">
        <f>アプリ!D15+アプリ!I15+アプリ!J15+アダルトその他!D15</f>
        <v>0</v>
      </c>
      <c r="F15" s="17">
        <f t="shared" si="1"/>
        <v>0</v>
      </c>
      <c r="G15" s="15">
        <f t="shared" si="2"/>
        <v>0</v>
      </c>
      <c r="H15" s="18" t="e">
        <f t="shared" si="3"/>
        <v>#DIV/0!</v>
      </c>
    </row>
    <row r="16" spans="2:8" x14ac:dyDescent="0.4">
      <c r="B16" s="16">
        <f ca="1">合計!$A16</f>
        <v>45789</v>
      </c>
      <c r="C16" s="17">
        <f>IFERROR(アプリ!B16+アダルトその他!B16,0)</f>
        <v>0</v>
      </c>
      <c r="D16" s="17">
        <f t="shared" si="0"/>
        <v>0</v>
      </c>
      <c r="E16" s="17">
        <f>アプリ!D16+アプリ!I16+アプリ!J16+アダルトその他!D16</f>
        <v>0</v>
      </c>
      <c r="F16" s="17">
        <f t="shared" si="1"/>
        <v>0</v>
      </c>
      <c r="G16" s="15">
        <f t="shared" si="2"/>
        <v>0</v>
      </c>
      <c r="H16" s="18" t="e">
        <f t="shared" si="3"/>
        <v>#DIV/0!</v>
      </c>
    </row>
    <row r="17" spans="2:8" x14ac:dyDescent="0.4">
      <c r="B17" s="16">
        <f ca="1">合計!$A17</f>
        <v>45790</v>
      </c>
      <c r="C17" s="17">
        <f>IFERROR(アプリ!B17+アダルトその他!B17,0)</f>
        <v>0</v>
      </c>
      <c r="D17" s="17">
        <f t="shared" si="0"/>
        <v>0</v>
      </c>
      <c r="E17" s="17">
        <f>アプリ!D17+アプリ!I17+アプリ!J17+アダルトその他!D17</f>
        <v>0</v>
      </c>
      <c r="F17" s="17">
        <f t="shared" si="1"/>
        <v>0</v>
      </c>
      <c r="G17" s="15">
        <f>E17-D17</f>
        <v>0</v>
      </c>
      <c r="H17" s="18" t="e">
        <f t="shared" si="3"/>
        <v>#DIV/0!</v>
      </c>
    </row>
    <row r="18" spans="2:8" x14ac:dyDescent="0.4">
      <c r="B18" s="16">
        <f ca="1">合計!$A18</f>
        <v>45791</v>
      </c>
      <c r="C18" s="17">
        <f>IFERROR(アプリ!B18+アダルトその他!B18,0)</f>
        <v>0</v>
      </c>
      <c r="D18" s="17">
        <f t="shared" si="0"/>
        <v>0</v>
      </c>
      <c r="E18" s="17">
        <f>アプリ!D18+アプリ!I18+アプリ!J18+アダルトその他!D18</f>
        <v>0</v>
      </c>
      <c r="F18" s="17">
        <f t="shared" si="1"/>
        <v>0</v>
      </c>
      <c r="G18" s="15">
        <f t="shared" si="2"/>
        <v>0</v>
      </c>
      <c r="H18" s="18" t="e">
        <f t="shared" si="3"/>
        <v>#DIV/0!</v>
      </c>
    </row>
    <row r="19" spans="2:8" x14ac:dyDescent="0.4">
      <c r="B19" s="16">
        <f ca="1">合計!$A19</f>
        <v>45792</v>
      </c>
      <c r="C19" s="17">
        <f>IFERROR(アプリ!B19+アダルトその他!B19,0)</f>
        <v>0</v>
      </c>
      <c r="D19" s="17">
        <f t="shared" si="0"/>
        <v>0</v>
      </c>
      <c r="E19" s="17">
        <f>アプリ!D19+アプリ!I19+アプリ!J19+アダルトその他!D19</f>
        <v>0</v>
      </c>
      <c r="F19" s="17">
        <f t="shared" si="1"/>
        <v>0</v>
      </c>
      <c r="G19" s="15">
        <f t="shared" si="2"/>
        <v>0</v>
      </c>
      <c r="H19" s="18" t="e">
        <f t="shared" si="3"/>
        <v>#DIV/0!</v>
      </c>
    </row>
    <row r="20" spans="2:8" x14ac:dyDescent="0.4">
      <c r="B20" s="16">
        <f ca="1">合計!$A20</f>
        <v>45793</v>
      </c>
      <c r="C20" s="17">
        <f>IFERROR(アプリ!B20+アダルトその他!B20,0)</f>
        <v>0</v>
      </c>
      <c r="D20" s="17">
        <f t="shared" si="0"/>
        <v>0</v>
      </c>
      <c r="E20" s="17">
        <f>アプリ!D20+アプリ!I20+アプリ!J20+アダルトその他!D20</f>
        <v>0</v>
      </c>
      <c r="F20" s="17">
        <f t="shared" si="1"/>
        <v>0</v>
      </c>
      <c r="G20" s="15">
        <f>E20-D20</f>
        <v>0</v>
      </c>
      <c r="H20" s="18" t="e">
        <f t="shared" si="3"/>
        <v>#DIV/0!</v>
      </c>
    </row>
    <row r="21" spans="2:8" x14ac:dyDescent="0.4">
      <c r="B21" s="16">
        <f ca="1">合計!$A21</f>
        <v>45794</v>
      </c>
      <c r="C21" s="17">
        <f>IFERROR(アプリ!B21+アダルトその他!B21,0)</f>
        <v>0</v>
      </c>
      <c r="D21" s="17">
        <f t="shared" si="0"/>
        <v>0</v>
      </c>
      <c r="E21" s="17">
        <f>アプリ!D21+アプリ!I21+アプリ!J21+アダルトその他!D21</f>
        <v>0</v>
      </c>
      <c r="F21" s="17">
        <f t="shared" si="1"/>
        <v>0</v>
      </c>
      <c r="G21" s="15">
        <f t="shared" si="2"/>
        <v>0</v>
      </c>
      <c r="H21" s="18" t="e">
        <f>E21/D21</f>
        <v>#DIV/0!</v>
      </c>
    </row>
    <row r="22" spans="2:8" x14ac:dyDescent="0.4">
      <c r="B22" s="16">
        <f ca="1">合計!$A22</f>
        <v>45795</v>
      </c>
      <c r="C22" s="17">
        <f>IFERROR(アプリ!B22+アダルトその他!B22,0)</f>
        <v>0</v>
      </c>
      <c r="D22" s="17">
        <f t="shared" si="0"/>
        <v>0</v>
      </c>
      <c r="E22" s="17">
        <f>アプリ!D22+アプリ!I22+アプリ!J22+アダルトその他!D22</f>
        <v>0</v>
      </c>
      <c r="F22" s="17">
        <f t="shared" si="1"/>
        <v>0</v>
      </c>
      <c r="G22" s="15">
        <f t="shared" si="2"/>
        <v>0</v>
      </c>
      <c r="H22" s="18" t="e">
        <f t="shared" si="3"/>
        <v>#DIV/0!</v>
      </c>
    </row>
    <row r="23" spans="2:8" x14ac:dyDescent="0.4">
      <c r="B23" s="16">
        <f ca="1">合計!$A23</f>
        <v>45796</v>
      </c>
      <c r="C23" s="17">
        <f>IFERROR(アプリ!B23+アダルトその他!B23,0)</f>
        <v>0</v>
      </c>
      <c r="D23" s="17">
        <f t="shared" si="0"/>
        <v>0</v>
      </c>
      <c r="E23" s="17">
        <f>アプリ!D23+アプリ!I23+アプリ!J23+アダルトその他!D23</f>
        <v>0</v>
      </c>
      <c r="F23" s="17">
        <f t="shared" si="1"/>
        <v>0</v>
      </c>
      <c r="G23" s="15">
        <f t="shared" si="2"/>
        <v>0</v>
      </c>
      <c r="H23" s="18" t="e">
        <f t="shared" si="3"/>
        <v>#DIV/0!</v>
      </c>
    </row>
    <row r="24" spans="2:8" x14ac:dyDescent="0.4">
      <c r="B24" s="16">
        <f ca="1">合計!$A24</f>
        <v>45797</v>
      </c>
      <c r="C24" s="17">
        <f>IFERROR(アプリ!B24+アダルトその他!B24,0)</f>
        <v>0</v>
      </c>
      <c r="D24" s="17">
        <f t="shared" si="0"/>
        <v>0</v>
      </c>
      <c r="E24" s="17">
        <f>アプリ!D24+アプリ!I24+アプリ!J24+アダルトその他!D24</f>
        <v>0</v>
      </c>
      <c r="F24" s="17">
        <f t="shared" si="1"/>
        <v>0</v>
      </c>
      <c r="G24" s="15">
        <f t="shared" si="2"/>
        <v>0</v>
      </c>
      <c r="H24" s="18" t="e">
        <f t="shared" si="3"/>
        <v>#DIV/0!</v>
      </c>
    </row>
    <row r="25" spans="2:8" x14ac:dyDescent="0.4">
      <c r="B25" s="16">
        <f ca="1">合計!$A25</f>
        <v>45798</v>
      </c>
      <c r="C25" s="17">
        <f>IFERROR(アプリ!B25+アダルトその他!B25,0)</f>
        <v>0</v>
      </c>
      <c r="D25" s="17">
        <f t="shared" si="0"/>
        <v>0</v>
      </c>
      <c r="E25" s="17">
        <f>アプリ!D25+アプリ!I25+アプリ!J25+アダルトその他!D25</f>
        <v>0</v>
      </c>
      <c r="F25" s="17">
        <f t="shared" si="1"/>
        <v>0</v>
      </c>
      <c r="G25" s="15">
        <f t="shared" si="2"/>
        <v>0</v>
      </c>
      <c r="H25" s="18" t="e">
        <f t="shared" si="3"/>
        <v>#DIV/0!</v>
      </c>
    </row>
    <row r="26" spans="2:8" x14ac:dyDescent="0.4">
      <c r="B26" s="16">
        <f ca="1">合計!$A26</f>
        <v>45799</v>
      </c>
      <c r="C26" s="17">
        <f>IFERROR(アプリ!B26+アダルトその他!B26,0)</f>
        <v>0</v>
      </c>
      <c r="D26" s="17">
        <f t="shared" si="0"/>
        <v>0</v>
      </c>
      <c r="E26" s="17">
        <f>アプリ!D26+アプリ!I26+アプリ!J26+アダルトその他!D26</f>
        <v>0</v>
      </c>
      <c r="F26" s="17">
        <f t="shared" si="1"/>
        <v>0</v>
      </c>
      <c r="G26" s="15">
        <f t="shared" si="2"/>
        <v>0</v>
      </c>
      <c r="H26" s="18" t="e">
        <f t="shared" si="3"/>
        <v>#DIV/0!</v>
      </c>
    </row>
    <row r="27" spans="2:8" x14ac:dyDescent="0.4">
      <c r="B27" s="16">
        <f ca="1">合計!$A27</f>
        <v>45800</v>
      </c>
      <c r="C27" s="17">
        <f>IFERROR(アプリ!B27+アダルトその他!B27,0)</f>
        <v>0</v>
      </c>
      <c r="D27" s="17">
        <f t="shared" si="0"/>
        <v>0</v>
      </c>
      <c r="E27" s="17">
        <f>アプリ!D27+アプリ!I27+アプリ!J27+アダルトその他!D27</f>
        <v>0</v>
      </c>
      <c r="F27" s="17">
        <f t="shared" si="1"/>
        <v>0</v>
      </c>
      <c r="G27" s="15">
        <f t="shared" si="2"/>
        <v>0</v>
      </c>
      <c r="H27" s="18" t="e">
        <f t="shared" si="3"/>
        <v>#DIV/0!</v>
      </c>
    </row>
    <row r="28" spans="2:8" x14ac:dyDescent="0.4">
      <c r="B28" s="16">
        <f ca="1">合計!$A28</f>
        <v>45801</v>
      </c>
      <c r="C28" s="17">
        <f>IFERROR(アプリ!B28+アダルトその他!B28,0)</f>
        <v>0</v>
      </c>
      <c r="D28" s="17">
        <f t="shared" si="0"/>
        <v>0</v>
      </c>
      <c r="E28" s="17">
        <f>アプリ!D28+アプリ!I28+アプリ!J28+アダルトその他!D28</f>
        <v>0</v>
      </c>
      <c r="F28" s="17">
        <f t="shared" si="1"/>
        <v>0</v>
      </c>
      <c r="G28" s="15">
        <f t="shared" si="2"/>
        <v>0</v>
      </c>
      <c r="H28" s="18" t="e">
        <f t="shared" si="3"/>
        <v>#DIV/0!</v>
      </c>
    </row>
    <row r="29" spans="2:8" x14ac:dyDescent="0.4">
      <c r="B29" s="16">
        <f ca="1">合計!$A29</f>
        <v>45802</v>
      </c>
      <c r="C29" s="17">
        <f>IFERROR(アプリ!B29+アダルトその他!B29,0)</f>
        <v>0</v>
      </c>
      <c r="D29" s="17">
        <f t="shared" si="0"/>
        <v>0</v>
      </c>
      <c r="E29" s="17">
        <f>アプリ!D29+アプリ!I29+アプリ!J29+アダルトその他!D29</f>
        <v>0</v>
      </c>
      <c r="F29" s="17">
        <f t="shared" si="1"/>
        <v>0</v>
      </c>
      <c r="G29" s="15">
        <f t="shared" si="2"/>
        <v>0</v>
      </c>
      <c r="H29" s="18" t="e">
        <f t="shared" si="3"/>
        <v>#DIV/0!</v>
      </c>
    </row>
    <row r="30" spans="2:8" x14ac:dyDescent="0.4">
      <c r="B30" s="16">
        <f ca="1">合計!$A30</f>
        <v>45803</v>
      </c>
      <c r="C30" s="17">
        <f>IFERROR(アプリ!B30+アダルトその他!B30,0)</f>
        <v>0</v>
      </c>
      <c r="D30" s="17">
        <f t="shared" si="0"/>
        <v>0</v>
      </c>
      <c r="E30" s="17">
        <f>アプリ!D30+アプリ!I30+アプリ!J30+アダルトその他!D30</f>
        <v>0</v>
      </c>
      <c r="F30" s="17">
        <f t="shared" si="1"/>
        <v>0</v>
      </c>
      <c r="G30" s="15">
        <f t="shared" si="2"/>
        <v>0</v>
      </c>
      <c r="H30" s="18" t="e">
        <f t="shared" si="3"/>
        <v>#DIV/0!</v>
      </c>
    </row>
    <row r="31" spans="2:8" x14ac:dyDescent="0.4">
      <c r="B31" s="16">
        <f ca="1">合計!$A31</f>
        <v>45804</v>
      </c>
      <c r="C31" s="17">
        <f>IFERROR(アプリ!B31+アダルトその他!B31,0)</f>
        <v>0</v>
      </c>
      <c r="D31" s="17">
        <f t="shared" si="0"/>
        <v>0</v>
      </c>
      <c r="E31" s="17">
        <f>アプリ!D31+アプリ!I31+アプリ!J31+アダルトその他!D31</f>
        <v>0</v>
      </c>
      <c r="F31" s="17">
        <f t="shared" si="1"/>
        <v>0</v>
      </c>
      <c r="G31" s="15">
        <f t="shared" si="2"/>
        <v>0</v>
      </c>
      <c r="H31" s="18" t="e">
        <f t="shared" si="3"/>
        <v>#DIV/0!</v>
      </c>
    </row>
    <row r="32" spans="2:8" x14ac:dyDescent="0.4">
      <c r="B32" s="16">
        <f ca="1">合計!$A32</f>
        <v>45805</v>
      </c>
      <c r="C32" s="17">
        <f>IFERROR(アプリ!B32+アダルトその他!B32,0)</f>
        <v>0</v>
      </c>
      <c r="D32" s="17">
        <f t="shared" si="0"/>
        <v>0</v>
      </c>
      <c r="E32" s="17">
        <f>アプリ!D32+アプリ!I32+アプリ!J32+アダルトその他!D32</f>
        <v>0</v>
      </c>
      <c r="F32" s="17">
        <f t="shared" si="1"/>
        <v>0</v>
      </c>
      <c r="G32" s="15">
        <f t="shared" si="2"/>
        <v>0</v>
      </c>
      <c r="H32" s="18" t="e">
        <f t="shared" si="3"/>
        <v>#DIV/0!</v>
      </c>
    </row>
    <row r="33" spans="2:8" x14ac:dyDescent="0.4">
      <c r="B33" s="16">
        <f ca="1">合計!$A33</f>
        <v>45806</v>
      </c>
      <c r="C33" s="17">
        <f>IFERROR(アプリ!B33+アダルトその他!B33,0)</f>
        <v>0</v>
      </c>
      <c r="D33" s="17">
        <f t="shared" si="0"/>
        <v>0</v>
      </c>
      <c r="E33" s="17">
        <f>アプリ!D33+アプリ!I33+アプリ!J33+アダルトその他!D33</f>
        <v>0</v>
      </c>
      <c r="F33" s="17">
        <f t="shared" si="1"/>
        <v>0</v>
      </c>
      <c r="G33" s="15">
        <f t="shared" si="2"/>
        <v>0</v>
      </c>
      <c r="H33" s="18" t="e">
        <f t="shared" si="3"/>
        <v>#DIV/0!</v>
      </c>
    </row>
    <row r="34" spans="2:8" x14ac:dyDescent="0.4">
      <c r="B34" s="16">
        <f ca="1">合計!$A34</f>
        <v>45807</v>
      </c>
      <c r="C34" s="17">
        <f>IFERROR(アプリ!B34+アダルトその他!B34,0)</f>
        <v>0</v>
      </c>
      <c r="D34" s="17">
        <f t="shared" si="0"/>
        <v>0</v>
      </c>
      <c r="E34" s="17">
        <f>アプリ!D34+アプリ!I34+アプリ!J34+アダルトその他!D34</f>
        <v>0</v>
      </c>
      <c r="F34" s="17">
        <f t="shared" si="1"/>
        <v>0</v>
      </c>
      <c r="G34" s="15">
        <f t="shared" si="2"/>
        <v>0</v>
      </c>
      <c r="H34" s="18" t="e">
        <f t="shared" si="3"/>
        <v>#DIV/0!</v>
      </c>
    </row>
    <row r="35" spans="2:8" x14ac:dyDescent="0.4">
      <c r="B35" s="16">
        <f ca="1">合計!$A35</f>
        <v>45808</v>
      </c>
      <c r="C35" s="17">
        <f>IFERROR(アプリ!B35+アダルトその他!B35,0)</f>
        <v>0</v>
      </c>
      <c r="D35" s="17">
        <f t="shared" si="0"/>
        <v>0</v>
      </c>
      <c r="E35" s="17">
        <f>アプリ!D35+アプリ!I35+アプリ!J35+アダルトその他!D35</f>
        <v>0</v>
      </c>
      <c r="F35" s="17">
        <f t="shared" si="1"/>
        <v>0</v>
      </c>
      <c r="G35" s="15">
        <f t="shared" si="2"/>
        <v>0</v>
      </c>
      <c r="H35" s="18" t="e">
        <f t="shared" si="3"/>
        <v>#DIV/0!</v>
      </c>
    </row>
    <row r="36" spans="2:8" x14ac:dyDescent="0.4">
      <c r="B36" s="21" t="s">
        <v>24</v>
      </c>
      <c r="C36" s="17">
        <f>SUM(C5:C35)</f>
        <v>0</v>
      </c>
      <c r="D36" s="17">
        <f>SUM(D5:D35)</f>
        <v>0</v>
      </c>
      <c r="E36" s="17">
        <f>SUM(E5:E35)</f>
        <v>0</v>
      </c>
      <c r="F36" s="17">
        <f>SUM(F5:F35)</f>
        <v>0</v>
      </c>
      <c r="G36" s="15">
        <f>E36-D36</f>
        <v>0</v>
      </c>
      <c r="H36" s="18" t="e">
        <f>E36/D36</f>
        <v>#DIV/0!</v>
      </c>
    </row>
  </sheetData>
  <mergeCells count="1">
    <mergeCell ref="C2:H3"/>
  </mergeCells>
  <phoneticPr fontId="3"/>
  <conditionalFormatting sqref="B5:B35">
    <cfRule type="expression" dxfId="41" priority="1">
      <formula>WEEKDAY(B5)=7</formula>
    </cfRule>
    <cfRule type="expression" dxfId="40" priority="2">
      <formula>WEEKDAY(B5)=1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G54"/>
  <sheetViews>
    <sheetView workbookViewId="0">
      <selection activeCell="I35" sqref="I35"/>
    </sheetView>
  </sheetViews>
  <sheetFormatPr defaultRowHeight="18.75" x14ac:dyDescent="0.4"/>
  <cols>
    <col min="1" max="1" width="10" style="1" bestFit="1" customWidth="1"/>
    <col min="2" max="2" width="10.375" style="1" bestFit="1" customWidth="1"/>
    <col min="3" max="3" width="13.875" style="1" customWidth="1"/>
    <col min="4" max="5" width="9" style="1" bestFit="1"/>
    <col min="6" max="6" width="9.375" style="1" bestFit="1" customWidth="1"/>
    <col min="7" max="7" width="8.125" style="1" bestFit="1" customWidth="1"/>
    <col min="9" max="11" width="10.25" customWidth="1"/>
    <col min="13" max="13" width="9" hidden="1" customWidth="1"/>
    <col min="14" max="14" width="10.375" hidden="1" customWidth="1"/>
    <col min="15" max="15" width="13.125" hidden="1" customWidth="1"/>
    <col min="16" max="16" width="2.375" hidden="1" customWidth="1"/>
    <col min="17" max="17" width="10.375" hidden="1" customWidth="1"/>
    <col min="18" max="18" width="9" hidden="1" customWidth="1"/>
    <col min="19" max="19" width="2.375" hidden="1" customWidth="1"/>
    <col min="20" max="21" width="9" hidden="1" customWidth="1"/>
    <col min="22" max="22" width="2.375" hidden="1" customWidth="1"/>
    <col min="23" max="24" width="9" hidden="1" customWidth="1"/>
    <col min="25" max="25" width="2.375" hidden="1" customWidth="1"/>
    <col min="26" max="27" width="9" hidden="1" customWidth="1"/>
    <col min="28" max="28" width="2.375" hidden="1" customWidth="1"/>
    <col min="29" max="30" width="9" hidden="1" customWidth="1"/>
    <col min="31" max="31" width="1.75" hidden="1" customWidth="1"/>
    <col min="32" max="33" width="9" hidden="1" customWidth="1"/>
    <col min="34" max="34" width="1.75" hidden="1" customWidth="1"/>
    <col min="35" max="36" width="9" hidden="1" customWidth="1"/>
    <col min="37" max="37" width="1.75" hidden="1" customWidth="1"/>
    <col min="38" max="39" width="9" hidden="1" customWidth="1"/>
    <col min="40" max="40" width="1.75" hidden="1" customWidth="1"/>
    <col min="41" max="42" width="9" hidden="1" customWidth="1"/>
    <col min="43" max="43" width="1.75" hidden="1" customWidth="1"/>
    <col min="44" max="45" width="9" hidden="1" customWidth="1"/>
    <col min="46" max="46" width="1.75" hidden="1" customWidth="1"/>
    <col min="47" max="48" width="9" hidden="1" customWidth="1"/>
    <col min="49" max="49" width="1.75" hidden="1" customWidth="1"/>
    <col min="50" max="51" width="9" hidden="1" customWidth="1"/>
    <col min="52" max="52" width="1.75" hidden="1" customWidth="1"/>
    <col min="53" max="54" width="9" hidden="1" customWidth="1"/>
    <col min="55" max="55" width="1.75" hidden="1" customWidth="1"/>
    <col min="56" max="57" width="9" hidden="1" customWidth="1"/>
    <col min="58" max="58" width="1.75" hidden="1" customWidth="1"/>
    <col min="59" max="60" width="9" hidden="1" customWidth="1"/>
    <col min="61" max="61" width="1.75" hidden="1" customWidth="1"/>
    <col min="62" max="63" width="9" hidden="1" customWidth="1"/>
    <col min="64" max="64" width="1.75" hidden="1" customWidth="1"/>
    <col min="65" max="66" width="9" hidden="1" customWidth="1"/>
    <col min="67" max="67" width="1.75" hidden="1" customWidth="1"/>
    <col min="68" max="69" width="9" hidden="1" customWidth="1"/>
    <col min="70" max="70" width="1.75" hidden="1" customWidth="1"/>
    <col min="71" max="72" width="9" hidden="1" customWidth="1"/>
    <col min="73" max="73" width="1.75" hidden="1" customWidth="1"/>
    <col min="74" max="75" width="9" hidden="1" customWidth="1"/>
    <col min="76" max="76" width="1.75" hidden="1" customWidth="1"/>
    <col min="77" max="78" width="9" hidden="1" customWidth="1"/>
    <col min="79" max="79" width="1.75" hidden="1" customWidth="1"/>
    <col min="80" max="81" width="9" hidden="1" customWidth="1"/>
    <col min="82" max="82" width="1.75" hidden="1" customWidth="1"/>
    <col min="83" max="84" width="9" hidden="1" customWidth="1"/>
    <col min="85" max="85" width="1.75" hidden="1" customWidth="1"/>
    <col min="86" max="87" width="9" hidden="1" customWidth="1"/>
    <col min="88" max="88" width="1.75" hidden="1" customWidth="1"/>
    <col min="89" max="90" width="9" hidden="1" customWidth="1"/>
    <col min="91" max="91" width="1.75" hidden="1" customWidth="1"/>
    <col min="92" max="92" width="9.25" hidden="1" customWidth="1"/>
    <col min="93" max="93" width="9" hidden="1" customWidth="1"/>
    <col min="94" max="94" width="1.75" hidden="1" customWidth="1"/>
    <col min="95" max="96" width="9" hidden="1" customWidth="1"/>
    <col min="97" max="97" width="1.75" hidden="1" customWidth="1"/>
    <col min="98" max="99" width="9" hidden="1" customWidth="1"/>
    <col min="100" max="100" width="1.75" hidden="1" customWidth="1"/>
    <col min="101" max="102" width="9" hidden="1" customWidth="1"/>
    <col min="103" max="103" width="1.75" hidden="1" customWidth="1"/>
    <col min="104" max="105" width="9" hidden="1" customWidth="1"/>
    <col min="106" max="106" width="1.75" hidden="1" customWidth="1"/>
    <col min="107" max="108" width="9" hidden="1" customWidth="1"/>
    <col min="109" max="109" width="1.75" hidden="1" customWidth="1"/>
    <col min="110" max="111" width="9" hidden="1" customWidth="1"/>
    <col min="112" max="112" width="2" hidden="1" customWidth="1"/>
    <col min="113" max="114" width="9" hidden="1" customWidth="1"/>
    <col min="115" max="115" width="2" hidden="1" customWidth="1"/>
    <col min="116" max="117" width="9" hidden="1" customWidth="1"/>
    <col min="118" max="118" width="2" hidden="1" customWidth="1"/>
    <col min="119" max="120" width="9" hidden="1" customWidth="1"/>
    <col min="121" max="121" width="2" hidden="1" customWidth="1"/>
    <col min="122" max="123" width="9" hidden="1" customWidth="1"/>
    <col min="124" max="124" width="2" hidden="1" customWidth="1"/>
    <col min="125" max="126" width="9" hidden="1" customWidth="1"/>
    <col min="127" max="127" width="2" hidden="1" customWidth="1"/>
    <col min="128" max="129" width="9" hidden="1" customWidth="1"/>
    <col min="130" max="130" width="2" hidden="1" customWidth="1"/>
    <col min="131" max="132" width="9" hidden="1" customWidth="1"/>
    <col min="133" max="133" width="9.125" bestFit="1" customWidth="1"/>
    <col min="134" max="134" width="11.5" bestFit="1" customWidth="1"/>
    <col min="136" max="136" width="9.125" bestFit="1" customWidth="1"/>
    <col min="137" max="137" width="13" bestFit="1" customWidth="1"/>
  </cols>
  <sheetData>
    <row r="2" spans="1:132" x14ac:dyDescent="0.4">
      <c r="A2" s="2"/>
      <c r="B2" s="105"/>
      <c r="C2" s="106"/>
      <c r="D2" s="106"/>
      <c r="E2" s="106"/>
      <c r="F2" s="106"/>
      <c r="G2" s="107"/>
    </row>
    <row r="3" spans="1:132" x14ac:dyDescent="0.4">
      <c r="A3" s="2"/>
      <c r="B3" s="9"/>
      <c r="C3" s="9"/>
      <c r="D3" s="9"/>
      <c r="E3" s="9"/>
      <c r="F3" s="9"/>
      <c r="G3" s="10"/>
      <c r="J3" t="s">
        <v>25</v>
      </c>
      <c r="N3" s="103" t="s">
        <v>41</v>
      </c>
      <c r="O3" s="104"/>
      <c r="P3" s="38"/>
      <c r="Q3" s="103" t="s">
        <v>42</v>
      </c>
      <c r="R3" s="104"/>
      <c r="S3" s="38"/>
      <c r="T3" s="103" t="s">
        <v>43</v>
      </c>
      <c r="U3" s="104"/>
      <c r="V3" s="38"/>
      <c r="W3" s="103" t="s">
        <v>44</v>
      </c>
      <c r="X3" s="104"/>
      <c r="Y3" s="38"/>
      <c r="Z3" s="103" t="s">
        <v>45</v>
      </c>
      <c r="AA3" s="104"/>
      <c r="AB3" s="38"/>
      <c r="AC3" s="103" t="s">
        <v>46</v>
      </c>
      <c r="AD3" s="104"/>
      <c r="AE3" s="38"/>
      <c r="AF3" s="103" t="s">
        <v>47</v>
      </c>
      <c r="AG3" s="104"/>
      <c r="AH3" s="38"/>
      <c r="AI3" s="103" t="s">
        <v>48</v>
      </c>
      <c r="AJ3" s="104"/>
      <c r="AK3" s="38"/>
      <c r="AL3" s="103" t="s">
        <v>49</v>
      </c>
      <c r="AM3" s="104"/>
      <c r="AN3" s="38"/>
      <c r="AO3" s="103" t="s">
        <v>50</v>
      </c>
      <c r="AP3" s="104"/>
      <c r="AQ3" s="38"/>
      <c r="AR3" s="103" t="s">
        <v>51</v>
      </c>
      <c r="AS3" s="104"/>
      <c r="AT3" s="38"/>
      <c r="AU3" s="103" t="s">
        <v>52</v>
      </c>
      <c r="AV3" s="104"/>
      <c r="AW3" s="38"/>
      <c r="AX3" s="103" t="s">
        <v>53</v>
      </c>
      <c r="AY3" s="104"/>
      <c r="AZ3" s="38"/>
      <c r="BA3" s="103" t="s">
        <v>54</v>
      </c>
      <c r="BB3" s="104"/>
      <c r="BC3" s="38"/>
      <c r="BD3" s="103" t="s">
        <v>55</v>
      </c>
      <c r="BE3" s="104"/>
      <c r="BF3" s="38"/>
      <c r="BG3" s="103" t="s">
        <v>56</v>
      </c>
      <c r="BH3" s="104"/>
      <c r="BI3" s="38"/>
      <c r="BJ3" s="103" t="s">
        <v>57</v>
      </c>
      <c r="BK3" s="104"/>
      <c r="BL3" s="38"/>
      <c r="BM3" s="103" t="s">
        <v>58</v>
      </c>
      <c r="BN3" s="104"/>
      <c r="BO3" s="38"/>
      <c r="BP3" s="103" t="s">
        <v>59</v>
      </c>
      <c r="BQ3" s="104"/>
      <c r="BR3" s="38"/>
      <c r="BS3" s="103" t="s">
        <v>60</v>
      </c>
      <c r="BT3" s="104"/>
      <c r="BU3" s="38"/>
      <c r="BV3" s="103" t="s">
        <v>61</v>
      </c>
      <c r="BW3" s="104"/>
      <c r="BX3" s="38"/>
      <c r="BY3" s="103" t="s">
        <v>62</v>
      </c>
      <c r="BZ3" s="104"/>
      <c r="CA3" s="38"/>
      <c r="CB3" s="103" t="s">
        <v>63</v>
      </c>
      <c r="CC3" s="104"/>
      <c r="CD3" s="38"/>
      <c r="CE3" s="103" t="s">
        <v>64</v>
      </c>
      <c r="CF3" s="104"/>
      <c r="CG3" s="38"/>
      <c r="CH3" s="103" t="s">
        <v>65</v>
      </c>
      <c r="CI3" s="104"/>
      <c r="CJ3" s="38"/>
      <c r="CK3" s="103" t="s">
        <v>66</v>
      </c>
      <c r="CL3" s="104"/>
      <c r="CM3" s="38"/>
      <c r="CN3" s="103" t="s">
        <v>67</v>
      </c>
      <c r="CO3" s="104"/>
      <c r="CP3" s="38"/>
      <c r="CQ3" s="103" t="s">
        <v>68</v>
      </c>
      <c r="CR3" s="104"/>
      <c r="CS3" s="38"/>
      <c r="CT3" s="103" t="s">
        <v>69</v>
      </c>
      <c r="CU3" s="104"/>
      <c r="CV3" s="38"/>
      <c r="CW3" s="103" t="s">
        <v>70</v>
      </c>
      <c r="CX3" s="104"/>
      <c r="CY3" s="38"/>
      <c r="CZ3" s="103" t="s">
        <v>71</v>
      </c>
      <c r="DA3" s="104"/>
      <c r="DB3" s="38"/>
      <c r="DC3" s="103" t="s">
        <v>72</v>
      </c>
      <c r="DD3" s="104"/>
      <c r="DE3" s="38"/>
      <c r="DF3" s="103" t="s">
        <v>73</v>
      </c>
      <c r="DG3" s="104"/>
      <c r="DH3" s="38"/>
      <c r="DI3" s="103" t="s">
        <v>74</v>
      </c>
      <c r="DJ3" s="104"/>
      <c r="DK3" s="38"/>
      <c r="DL3" s="103" t="s">
        <v>75</v>
      </c>
      <c r="DM3" s="104"/>
      <c r="DN3" s="38"/>
      <c r="DO3" s="103" t="s">
        <v>76</v>
      </c>
      <c r="DP3" s="104"/>
      <c r="DQ3" s="38"/>
      <c r="DR3" s="103" t="s">
        <v>77</v>
      </c>
      <c r="DS3" s="104"/>
      <c r="DT3" s="38"/>
      <c r="DU3" s="103" t="s">
        <v>78</v>
      </c>
      <c r="DV3" s="104"/>
      <c r="DW3" s="38"/>
      <c r="DX3" s="103" t="s">
        <v>79</v>
      </c>
      <c r="DY3" s="104"/>
      <c r="DZ3" s="38"/>
      <c r="EA3" s="103" t="s">
        <v>80</v>
      </c>
      <c r="EB3" s="104"/>
    </row>
    <row r="4" spans="1:132" x14ac:dyDescent="0.4">
      <c r="A4" s="2"/>
      <c r="B4" s="2" t="s">
        <v>38</v>
      </c>
      <c r="C4" s="14" t="s">
        <v>11</v>
      </c>
      <c r="D4" s="14" t="s">
        <v>12</v>
      </c>
      <c r="E4" s="2" t="s">
        <v>81</v>
      </c>
      <c r="F4" s="15" t="s">
        <v>14</v>
      </c>
      <c r="G4" s="2" t="s">
        <v>15</v>
      </c>
      <c r="J4" s="36" t="s">
        <v>28</v>
      </c>
      <c r="K4" s="36" t="s">
        <v>29</v>
      </c>
      <c r="N4" s="2"/>
      <c r="O4" s="2"/>
      <c r="P4" s="39"/>
      <c r="Q4" s="2"/>
      <c r="R4" s="2"/>
      <c r="S4" s="39"/>
      <c r="T4" s="2"/>
      <c r="U4" s="2"/>
      <c r="V4" s="39"/>
      <c r="W4" s="2"/>
      <c r="X4" s="2"/>
      <c r="Y4" s="39"/>
      <c r="Z4" s="2"/>
      <c r="AA4" s="2"/>
      <c r="AB4" s="39"/>
      <c r="AC4" s="2"/>
      <c r="AD4" s="2"/>
      <c r="AE4" s="39"/>
      <c r="AF4" s="2"/>
      <c r="AG4" s="2"/>
      <c r="AH4" s="39"/>
      <c r="AI4" s="2"/>
      <c r="AJ4" s="2"/>
      <c r="AK4" s="39"/>
      <c r="AL4" s="2"/>
      <c r="AM4" s="2"/>
      <c r="AN4" s="39"/>
      <c r="AO4" s="2"/>
      <c r="AP4" s="2"/>
      <c r="AQ4" s="39"/>
      <c r="AR4" s="2"/>
      <c r="AS4" s="2"/>
      <c r="AT4" s="39"/>
      <c r="AU4" s="2"/>
      <c r="AV4" s="2"/>
      <c r="AW4" s="39"/>
      <c r="AX4" s="2"/>
      <c r="AY4" s="2"/>
      <c r="AZ4" s="39"/>
      <c r="BA4" s="2"/>
      <c r="BB4" s="2"/>
      <c r="BC4" s="39"/>
      <c r="BD4" s="2"/>
      <c r="BE4" s="2"/>
      <c r="BF4" s="39"/>
      <c r="BG4" s="2"/>
      <c r="BH4" s="2"/>
      <c r="BI4" s="39"/>
      <c r="BJ4" s="2"/>
      <c r="BK4" s="2"/>
      <c r="BL4" s="39"/>
      <c r="BM4" s="2"/>
      <c r="BN4" s="2"/>
      <c r="BO4" s="39"/>
      <c r="BP4" s="2"/>
      <c r="BQ4" s="2"/>
      <c r="BR4" s="39"/>
      <c r="BS4" s="2"/>
      <c r="BT4" s="2"/>
      <c r="BU4" s="39"/>
      <c r="BV4" s="2"/>
      <c r="BW4" s="2"/>
      <c r="BX4" s="39"/>
      <c r="BY4" s="2"/>
      <c r="BZ4" s="2"/>
      <c r="CA4" s="39"/>
      <c r="CB4" s="2"/>
      <c r="CC4" s="2"/>
      <c r="CD4" s="39"/>
      <c r="CE4" s="2"/>
      <c r="CF4" s="2"/>
      <c r="CG4" s="39"/>
      <c r="CH4" s="2"/>
      <c r="CI4" s="2"/>
      <c r="CJ4" s="39"/>
      <c r="CK4" s="2"/>
      <c r="CL4" s="2"/>
      <c r="CM4" s="39"/>
      <c r="CN4" s="2"/>
      <c r="CO4" s="2"/>
      <c r="CP4" s="39"/>
      <c r="CQ4" s="2"/>
      <c r="CR4" s="2"/>
      <c r="CS4" s="39"/>
      <c r="CT4" s="2"/>
      <c r="CU4" s="2"/>
      <c r="CV4" s="39"/>
      <c r="CW4" s="2"/>
      <c r="CX4" s="2"/>
      <c r="CY4" s="39"/>
      <c r="CZ4" s="2"/>
      <c r="DA4" s="2"/>
      <c r="DB4" s="39"/>
      <c r="DC4" s="2"/>
      <c r="DD4" s="2"/>
      <c r="DE4" s="39"/>
      <c r="DF4" s="2"/>
      <c r="DG4" s="2"/>
      <c r="DH4" s="39"/>
      <c r="DI4" s="2"/>
      <c r="DJ4" s="2"/>
      <c r="DK4" s="39"/>
      <c r="DL4" s="2"/>
      <c r="DM4" s="2"/>
      <c r="DN4" s="39"/>
      <c r="DO4" s="2"/>
      <c r="DP4" s="2"/>
      <c r="DQ4" s="39"/>
      <c r="DR4" s="2"/>
      <c r="DS4" s="2"/>
      <c r="DT4" s="39"/>
      <c r="DU4" s="2"/>
      <c r="DV4" s="2"/>
      <c r="DW4" s="39"/>
      <c r="DX4" s="2"/>
      <c r="DY4" s="2"/>
      <c r="DZ4" s="39"/>
      <c r="EA4" s="2"/>
      <c r="EB4" s="2"/>
    </row>
    <row r="5" spans="1:13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IFERROR(B5*92.597%,0)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>D5-C5</f>
        <v>0</v>
      </c>
      <c r="G5" s="18" t="e">
        <f t="shared" ref="G5:G35" si="4">D5/B5</f>
        <v>#VALUE!</v>
      </c>
      <c r="I5" s="29">
        <f t="shared" ref="I5:I35" ca="1" si="5">A5</f>
        <v>45778</v>
      </c>
      <c r="J5" s="34"/>
      <c r="K5" s="34"/>
      <c r="M5" s="16"/>
      <c r="N5" s="32"/>
      <c r="O5" s="32"/>
      <c r="P5" s="41"/>
      <c r="Q5" s="32"/>
      <c r="R5" s="32"/>
      <c r="S5" s="41"/>
      <c r="T5" s="32"/>
      <c r="U5" s="32"/>
      <c r="V5" s="41"/>
      <c r="W5" s="32"/>
      <c r="X5" s="32"/>
      <c r="Y5" s="41"/>
      <c r="Z5" s="32"/>
      <c r="AA5" s="32"/>
      <c r="AB5" s="41"/>
      <c r="AC5" s="32"/>
      <c r="AD5" s="32"/>
      <c r="AE5" s="41"/>
      <c r="AF5" s="32"/>
      <c r="AG5" s="32"/>
      <c r="AH5" s="41"/>
      <c r="AI5" s="32"/>
      <c r="AJ5" s="32"/>
      <c r="AK5" s="41"/>
      <c r="AL5" s="32"/>
      <c r="AM5" s="32"/>
      <c r="AN5" s="41"/>
      <c r="AO5" s="32"/>
      <c r="AP5" s="32"/>
      <c r="AQ5" s="41"/>
      <c r="AR5" s="32"/>
      <c r="AS5" s="32"/>
      <c r="AT5" s="41"/>
      <c r="AU5" s="32"/>
      <c r="AV5" s="32"/>
      <c r="AW5" s="41"/>
      <c r="AX5" s="32"/>
      <c r="AY5" s="32"/>
      <c r="AZ5" s="41"/>
      <c r="BA5" s="32"/>
      <c r="BB5" s="32"/>
      <c r="BC5" s="41"/>
      <c r="BD5" s="32"/>
      <c r="BE5" s="32"/>
      <c r="BF5" s="41"/>
      <c r="BG5" s="32"/>
      <c r="BH5" s="32"/>
      <c r="BI5" s="41"/>
      <c r="BJ5" s="32"/>
      <c r="BK5" s="32"/>
      <c r="BL5" s="41"/>
      <c r="BM5" s="32"/>
      <c r="BN5" s="32"/>
      <c r="BO5" s="41"/>
      <c r="BP5" s="32"/>
      <c r="BQ5" s="32"/>
      <c r="BR5" s="41"/>
      <c r="BS5" s="32"/>
      <c r="BT5" s="32"/>
      <c r="BU5" s="41"/>
      <c r="BV5" s="32"/>
      <c r="BW5" s="32"/>
      <c r="BX5" s="41"/>
      <c r="BY5" s="32"/>
      <c r="BZ5" s="32"/>
      <c r="CA5" s="41"/>
      <c r="CB5" s="32"/>
      <c r="CC5" s="32"/>
      <c r="CD5" s="41"/>
      <c r="CE5" s="32"/>
      <c r="CF5" s="32"/>
      <c r="CG5" s="41"/>
      <c r="CH5" s="32"/>
      <c r="CI5" s="32"/>
      <c r="CJ5" s="41"/>
      <c r="CK5" s="32"/>
      <c r="CL5" s="32"/>
      <c r="CM5" s="41"/>
      <c r="CN5" s="32"/>
      <c r="CO5" s="32"/>
      <c r="CP5" s="41"/>
      <c r="CQ5" s="32"/>
      <c r="CR5" s="32"/>
      <c r="CS5" s="41"/>
      <c r="CT5" s="32"/>
      <c r="CU5" s="32"/>
      <c r="CV5" s="41"/>
      <c r="CW5" s="32"/>
      <c r="CX5" s="32"/>
      <c r="CY5" s="41"/>
      <c r="CZ5" s="32"/>
      <c r="DA5" s="32"/>
      <c r="DB5" s="41"/>
      <c r="DC5" s="32"/>
      <c r="DD5" s="32"/>
      <c r="DE5" s="41"/>
      <c r="DF5" s="32"/>
      <c r="DG5" s="32"/>
      <c r="DH5" s="41"/>
      <c r="DI5" s="32"/>
      <c r="DJ5" s="32"/>
      <c r="DK5" s="41"/>
      <c r="DL5" s="32"/>
      <c r="DM5" s="32"/>
      <c r="DN5" s="41"/>
      <c r="DO5" s="32"/>
      <c r="DP5" s="32"/>
      <c r="DQ5" s="41"/>
      <c r="DR5" s="32"/>
      <c r="DS5" s="32"/>
      <c r="DT5" s="41"/>
      <c r="DU5" s="32"/>
      <c r="DV5" s="32"/>
      <c r="DW5" s="41"/>
      <c r="DX5" s="32"/>
      <c r="DY5" s="32"/>
      <c r="DZ5" s="41"/>
      <c r="EA5" s="32"/>
      <c r="EB5" s="32"/>
    </row>
    <row r="6" spans="1:13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ref="F6:F35" si="6">D6-C6</f>
        <v>0</v>
      </c>
      <c r="G6" s="18" t="e">
        <f t="shared" si="4"/>
        <v>#VALUE!</v>
      </c>
      <c r="I6" s="29">
        <f t="shared" ca="1" si="5"/>
        <v>45779</v>
      </c>
      <c r="J6" s="34"/>
      <c r="K6" s="34"/>
      <c r="M6" s="16"/>
      <c r="N6" s="32"/>
      <c r="O6" s="32"/>
      <c r="P6" s="41"/>
      <c r="Q6" s="32"/>
      <c r="R6" s="32"/>
      <c r="S6" s="41"/>
      <c r="T6" s="32"/>
      <c r="U6" s="32"/>
      <c r="V6" s="41"/>
      <c r="W6" s="32"/>
      <c r="X6" s="32"/>
      <c r="Y6" s="41"/>
      <c r="Z6" s="32"/>
      <c r="AA6" s="32"/>
      <c r="AB6" s="41"/>
      <c r="AC6" s="32"/>
      <c r="AD6" s="32"/>
      <c r="AE6" s="41"/>
      <c r="AF6" s="32"/>
      <c r="AG6" s="32"/>
      <c r="AH6" s="41"/>
      <c r="AI6" s="32"/>
      <c r="AJ6" s="32"/>
      <c r="AK6" s="41"/>
      <c r="AL6" s="32"/>
      <c r="AM6" s="32"/>
      <c r="AN6" s="41"/>
      <c r="AO6" s="32"/>
      <c r="AP6" s="32"/>
      <c r="AQ6" s="41"/>
      <c r="AR6" s="32"/>
      <c r="AS6" s="32"/>
      <c r="AT6" s="41"/>
      <c r="AU6" s="32"/>
      <c r="AV6" s="32"/>
      <c r="AW6" s="41"/>
      <c r="AX6" s="32"/>
      <c r="AY6" s="32"/>
      <c r="AZ6" s="41"/>
      <c r="BA6" s="32"/>
      <c r="BB6" s="32"/>
      <c r="BC6" s="41"/>
      <c r="BD6" s="32"/>
      <c r="BE6" s="32"/>
      <c r="BF6" s="41"/>
      <c r="BG6" s="32"/>
      <c r="BH6" s="32"/>
      <c r="BI6" s="41"/>
      <c r="BJ6" s="32"/>
      <c r="BK6" s="32"/>
      <c r="BL6" s="41"/>
      <c r="BM6" s="32"/>
      <c r="BN6" s="32"/>
      <c r="BO6" s="41"/>
      <c r="BP6" s="32"/>
      <c r="BQ6" s="32"/>
      <c r="BR6" s="41"/>
      <c r="BS6" s="32"/>
      <c r="BT6" s="32"/>
      <c r="BU6" s="41"/>
      <c r="BV6" s="32"/>
      <c r="BW6" s="32"/>
      <c r="BX6" s="41"/>
      <c r="BY6" s="32"/>
      <c r="BZ6" s="32"/>
      <c r="CA6" s="41"/>
      <c r="CB6" s="32"/>
      <c r="CC6" s="32"/>
      <c r="CD6" s="41"/>
      <c r="CE6" s="32"/>
      <c r="CF6" s="32"/>
      <c r="CG6" s="41"/>
      <c r="CH6" s="32"/>
      <c r="CI6" s="32"/>
      <c r="CJ6" s="41"/>
      <c r="CK6" s="32"/>
      <c r="CL6" s="32"/>
      <c r="CM6" s="41"/>
      <c r="CN6" s="32"/>
      <c r="CO6" s="32"/>
      <c r="CP6" s="41"/>
      <c r="CQ6" s="32"/>
      <c r="CR6" s="32"/>
      <c r="CS6" s="41"/>
      <c r="CT6" s="32"/>
      <c r="CU6" s="32"/>
      <c r="CV6" s="41"/>
      <c r="CW6" s="32"/>
      <c r="CX6" s="32"/>
      <c r="CY6" s="41"/>
      <c r="CZ6" s="32"/>
      <c r="DA6" s="32"/>
      <c r="DB6" s="41"/>
      <c r="DC6" s="32"/>
      <c r="DD6" s="32"/>
      <c r="DE6" s="41"/>
      <c r="DF6" s="32"/>
      <c r="DG6" s="32"/>
      <c r="DH6" s="41"/>
      <c r="DI6" s="32"/>
      <c r="DJ6" s="32"/>
      <c r="DK6" s="41"/>
      <c r="DL6" s="32"/>
      <c r="DM6" s="32"/>
      <c r="DN6" s="41"/>
      <c r="DO6" s="32"/>
      <c r="DP6" s="32"/>
      <c r="DQ6" s="41"/>
      <c r="DR6" s="32"/>
      <c r="DS6" s="32"/>
      <c r="DT6" s="41"/>
      <c r="DU6" s="32"/>
      <c r="DV6" s="32"/>
      <c r="DW6" s="41"/>
      <c r="DX6" s="32"/>
      <c r="DY6" s="32"/>
      <c r="DZ6" s="41"/>
      <c r="EA6" s="32"/>
      <c r="EB6" s="32"/>
    </row>
    <row r="7" spans="1:13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6"/>
        <v>0</v>
      </c>
      <c r="G7" s="18" t="e">
        <f t="shared" si="4"/>
        <v>#VALUE!</v>
      </c>
      <c r="I7" s="29">
        <f t="shared" ca="1" si="5"/>
        <v>45780</v>
      </c>
      <c r="J7" s="34"/>
      <c r="K7" s="34"/>
      <c r="M7" s="16"/>
      <c r="N7" s="32"/>
      <c r="O7" s="32"/>
      <c r="P7" s="41"/>
      <c r="Q7" s="32"/>
      <c r="R7" s="32"/>
      <c r="S7" s="41"/>
      <c r="T7" s="32"/>
      <c r="U7" s="32"/>
      <c r="V7" s="41"/>
      <c r="W7" s="32"/>
      <c r="X7" s="32"/>
      <c r="Y7" s="41"/>
      <c r="Z7" s="32"/>
      <c r="AA7" s="32"/>
      <c r="AB7" s="41"/>
      <c r="AC7" s="32"/>
      <c r="AD7" s="32"/>
      <c r="AE7" s="41"/>
      <c r="AF7" s="32"/>
      <c r="AG7" s="32"/>
      <c r="AH7" s="41"/>
      <c r="AI7" s="32"/>
      <c r="AJ7" s="32"/>
      <c r="AK7" s="41"/>
      <c r="AL7" s="32"/>
      <c r="AM7" s="32"/>
      <c r="AN7" s="41"/>
      <c r="AO7" s="32"/>
      <c r="AP7" s="32"/>
      <c r="AQ7" s="41"/>
      <c r="AR7" s="32"/>
      <c r="AS7" s="32"/>
      <c r="AT7" s="41"/>
      <c r="AU7" s="32"/>
      <c r="AV7" s="32"/>
      <c r="AW7" s="41"/>
      <c r="AX7" s="32"/>
      <c r="AY7" s="32"/>
      <c r="AZ7" s="41"/>
      <c r="BA7" s="32"/>
      <c r="BB7" s="32"/>
      <c r="BC7" s="41"/>
      <c r="BD7" s="32"/>
      <c r="BE7" s="32"/>
      <c r="BF7" s="41"/>
      <c r="BG7" s="32"/>
      <c r="BH7" s="32"/>
      <c r="BI7" s="41"/>
      <c r="BJ7" s="32"/>
      <c r="BK7" s="32"/>
      <c r="BL7" s="41"/>
      <c r="BM7" s="32"/>
      <c r="BN7" s="32"/>
      <c r="BO7" s="41"/>
      <c r="BP7" s="32"/>
      <c r="BQ7" s="32"/>
      <c r="BR7" s="41"/>
      <c r="BS7" s="32"/>
      <c r="BT7" s="32"/>
      <c r="BU7" s="41"/>
      <c r="BV7" s="32"/>
      <c r="BW7" s="32"/>
      <c r="BX7" s="41"/>
      <c r="BY7" s="32"/>
      <c r="BZ7" s="32"/>
      <c r="CA7" s="41"/>
      <c r="CB7" s="32"/>
      <c r="CC7" s="32"/>
      <c r="CD7" s="41"/>
      <c r="CE7" s="32"/>
      <c r="CF7" s="32"/>
      <c r="CG7" s="41"/>
      <c r="CH7" s="32"/>
      <c r="CI7" s="32"/>
      <c r="CJ7" s="41"/>
      <c r="CK7" s="32"/>
      <c r="CL7" s="32"/>
      <c r="CM7" s="41"/>
      <c r="CN7" s="32"/>
      <c r="CO7" s="32"/>
      <c r="CP7" s="41"/>
      <c r="CQ7" s="32"/>
      <c r="CR7" s="32"/>
      <c r="CS7" s="41"/>
      <c r="CT7" s="32"/>
      <c r="CU7" s="32"/>
      <c r="CV7" s="41"/>
      <c r="CW7" s="32"/>
      <c r="CX7" s="32"/>
      <c r="CY7" s="41"/>
      <c r="CZ7" s="32"/>
      <c r="DA7" s="32"/>
      <c r="DB7" s="41"/>
      <c r="DC7" s="32"/>
      <c r="DD7" s="32"/>
      <c r="DE7" s="41"/>
      <c r="DF7" s="32"/>
      <c r="DG7" s="32"/>
      <c r="DH7" s="41"/>
      <c r="DI7" s="32"/>
      <c r="DJ7" s="32"/>
      <c r="DK7" s="41"/>
      <c r="DL7" s="32"/>
      <c r="DM7" s="32"/>
      <c r="DN7" s="41"/>
      <c r="DO7" s="32"/>
      <c r="DP7" s="32"/>
      <c r="DQ7" s="41"/>
      <c r="DR7" s="32"/>
      <c r="DS7" s="32"/>
      <c r="DT7" s="41"/>
      <c r="DU7" s="32"/>
      <c r="DV7" s="32"/>
      <c r="DW7" s="41"/>
      <c r="DX7" s="32"/>
      <c r="DY7" s="32"/>
      <c r="DZ7" s="41"/>
      <c r="EA7" s="32"/>
      <c r="EB7" s="32"/>
    </row>
    <row r="8" spans="1:13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6"/>
        <v>0</v>
      </c>
      <c r="G8" s="18" t="e">
        <f t="shared" si="4"/>
        <v>#VALUE!</v>
      </c>
      <c r="I8" s="29">
        <f t="shared" ca="1" si="5"/>
        <v>45781</v>
      </c>
      <c r="J8" s="32"/>
      <c r="K8" s="32"/>
      <c r="M8" s="16"/>
      <c r="N8" s="32"/>
      <c r="O8" s="32"/>
      <c r="P8" s="41"/>
      <c r="Q8" s="32"/>
      <c r="R8" s="32"/>
      <c r="S8" s="41"/>
      <c r="T8" s="32"/>
      <c r="U8" s="32"/>
      <c r="V8" s="41"/>
      <c r="W8" s="32"/>
      <c r="X8" s="32"/>
      <c r="Y8" s="41"/>
      <c r="Z8" s="32"/>
      <c r="AA8" s="32"/>
      <c r="AB8" s="41"/>
      <c r="AC8" s="32"/>
      <c r="AD8" s="32"/>
      <c r="AE8" s="41"/>
      <c r="AF8" s="32"/>
      <c r="AG8" s="32"/>
      <c r="AH8" s="41"/>
      <c r="AI8" s="32"/>
      <c r="AJ8" s="32"/>
      <c r="AK8" s="41"/>
      <c r="AL8" s="32"/>
      <c r="AM8" s="32"/>
      <c r="AN8" s="41"/>
      <c r="AO8" s="32"/>
      <c r="AP8" s="32"/>
      <c r="AQ8" s="41"/>
      <c r="AR8" s="32"/>
      <c r="AS8" s="32"/>
      <c r="AT8" s="41"/>
      <c r="AU8" s="32"/>
      <c r="AV8" s="32"/>
      <c r="AW8" s="41"/>
      <c r="AX8" s="32"/>
      <c r="AY8" s="32"/>
      <c r="AZ8" s="41"/>
      <c r="BA8" s="32"/>
      <c r="BB8" s="32"/>
      <c r="BC8" s="41"/>
      <c r="BD8" s="32"/>
      <c r="BE8" s="32"/>
      <c r="BF8" s="41"/>
      <c r="BG8" s="32"/>
      <c r="BH8" s="32"/>
      <c r="BI8" s="41"/>
      <c r="BJ8" s="32"/>
      <c r="BK8" s="32"/>
      <c r="BL8" s="41"/>
      <c r="BM8" s="32"/>
      <c r="BN8" s="32"/>
      <c r="BO8" s="41"/>
      <c r="BP8" s="32"/>
      <c r="BQ8" s="32"/>
      <c r="BR8" s="41"/>
      <c r="BS8" s="32"/>
      <c r="BT8" s="32"/>
      <c r="BU8" s="41"/>
      <c r="BV8" s="32"/>
      <c r="BW8" s="32"/>
      <c r="BX8" s="41"/>
      <c r="BY8" s="32"/>
      <c r="BZ8" s="32"/>
      <c r="CA8" s="41"/>
      <c r="CB8" s="32"/>
      <c r="CC8" s="32"/>
      <c r="CD8" s="41"/>
      <c r="CE8" s="32"/>
      <c r="CF8" s="32"/>
      <c r="CG8" s="41"/>
      <c r="CH8" s="32"/>
      <c r="CI8" s="32"/>
      <c r="CJ8" s="41"/>
      <c r="CK8" s="32"/>
      <c r="CL8" s="32"/>
      <c r="CM8" s="41"/>
      <c r="CN8" s="32"/>
      <c r="CO8" s="32"/>
      <c r="CP8" s="41"/>
      <c r="CQ8" s="32"/>
      <c r="CR8" s="32"/>
      <c r="CS8" s="41"/>
      <c r="CT8" s="32"/>
      <c r="CU8" s="32"/>
      <c r="CV8" s="41"/>
      <c r="CW8" s="32"/>
      <c r="CX8" s="32"/>
      <c r="CY8" s="41"/>
      <c r="CZ8" s="32"/>
      <c r="DA8" s="32"/>
      <c r="DB8" s="41"/>
      <c r="DC8" s="32"/>
      <c r="DD8" s="32"/>
      <c r="DE8" s="41"/>
      <c r="DF8" s="32"/>
      <c r="DG8" s="32"/>
      <c r="DH8" s="41"/>
      <c r="DI8" s="32"/>
      <c r="DJ8" s="32"/>
      <c r="DK8" s="41"/>
      <c r="DL8" s="32"/>
      <c r="DM8" s="32"/>
      <c r="DN8" s="41"/>
      <c r="DO8" s="32"/>
      <c r="DP8" s="32"/>
      <c r="DQ8" s="41"/>
      <c r="DR8" s="32"/>
      <c r="DS8" s="32"/>
      <c r="DT8" s="41"/>
      <c r="DU8" s="32"/>
      <c r="DV8" s="32"/>
      <c r="DW8" s="41"/>
      <c r="DX8" s="32"/>
      <c r="DY8" s="32"/>
      <c r="DZ8" s="41"/>
      <c r="EA8" s="32"/>
      <c r="EB8" s="32"/>
    </row>
    <row r="9" spans="1:13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6"/>
        <v>0</v>
      </c>
      <c r="G9" s="18" t="e">
        <f t="shared" si="4"/>
        <v>#VALUE!</v>
      </c>
      <c r="I9" s="29">
        <f t="shared" ca="1" si="5"/>
        <v>45782</v>
      </c>
      <c r="J9" s="32"/>
      <c r="K9" s="32"/>
      <c r="M9" s="16"/>
      <c r="N9" s="32"/>
      <c r="O9" s="32"/>
      <c r="P9" s="41"/>
      <c r="Q9" s="32"/>
      <c r="R9" s="32"/>
      <c r="S9" s="41"/>
      <c r="T9" s="32"/>
      <c r="U9" s="32"/>
      <c r="V9" s="41"/>
      <c r="W9" s="32"/>
      <c r="X9" s="32"/>
      <c r="Y9" s="41"/>
      <c r="Z9" s="32"/>
      <c r="AA9" s="32"/>
      <c r="AB9" s="41"/>
      <c r="AC9" s="32"/>
      <c r="AD9" s="32"/>
      <c r="AE9" s="41"/>
      <c r="AF9" s="32"/>
      <c r="AG9" s="32"/>
      <c r="AH9" s="41"/>
      <c r="AI9" s="32"/>
      <c r="AJ9" s="32"/>
      <c r="AK9" s="41"/>
      <c r="AL9" s="32"/>
      <c r="AM9" s="32"/>
      <c r="AN9" s="41"/>
      <c r="AO9" s="32"/>
      <c r="AP9" s="32"/>
      <c r="AQ9" s="41"/>
      <c r="AR9" s="32"/>
      <c r="AS9" s="32"/>
      <c r="AT9" s="41"/>
      <c r="AU9" s="32"/>
      <c r="AV9" s="32"/>
      <c r="AW9" s="41"/>
      <c r="AX9" s="32"/>
      <c r="AY9" s="32"/>
      <c r="AZ9" s="41"/>
      <c r="BA9" s="32"/>
      <c r="BB9" s="32"/>
      <c r="BC9" s="41"/>
      <c r="BD9" s="32"/>
      <c r="BE9" s="32"/>
      <c r="BF9" s="41"/>
      <c r="BG9" s="32"/>
      <c r="BH9" s="32"/>
      <c r="BI9" s="41"/>
      <c r="BJ9" s="32"/>
      <c r="BK9" s="32"/>
      <c r="BL9" s="41"/>
      <c r="BM9" s="32"/>
      <c r="BN9" s="32"/>
      <c r="BO9" s="41"/>
      <c r="BP9" s="32"/>
      <c r="BQ9" s="32"/>
      <c r="BR9" s="41"/>
      <c r="BS9" s="32"/>
      <c r="BT9" s="32"/>
      <c r="BU9" s="41"/>
      <c r="BV9" s="32"/>
      <c r="BW9" s="32"/>
      <c r="BX9" s="41"/>
      <c r="BY9" s="32"/>
      <c r="BZ9" s="32"/>
      <c r="CA9" s="41"/>
      <c r="CB9" s="32"/>
      <c r="CC9" s="32"/>
      <c r="CD9" s="41"/>
      <c r="CE9" s="32"/>
      <c r="CF9" s="32"/>
      <c r="CG9" s="41"/>
      <c r="CH9" s="32"/>
      <c r="CI9" s="32"/>
      <c r="CJ9" s="41"/>
      <c r="CK9" s="32"/>
      <c r="CL9" s="32"/>
      <c r="CM9" s="41"/>
      <c r="CN9" s="32"/>
      <c r="CO9" s="32"/>
      <c r="CP9" s="41"/>
      <c r="CQ9" s="32"/>
      <c r="CR9" s="32"/>
      <c r="CS9" s="41"/>
      <c r="CT9" s="32"/>
      <c r="CU9" s="32"/>
      <c r="CV9" s="41"/>
      <c r="CW9" s="32"/>
      <c r="CX9" s="32"/>
      <c r="CY9" s="41"/>
      <c r="CZ9" s="32"/>
      <c r="DA9" s="32"/>
      <c r="DB9" s="41"/>
      <c r="DC9" s="32"/>
      <c r="DD9" s="32"/>
      <c r="DE9" s="41"/>
      <c r="DF9" s="32"/>
      <c r="DG9" s="32"/>
      <c r="DH9" s="41"/>
      <c r="DI9" s="32"/>
      <c r="DJ9" s="32"/>
      <c r="DK9" s="41"/>
      <c r="DL9" s="32"/>
      <c r="DM9" s="32"/>
      <c r="DN9" s="41"/>
      <c r="DO9" s="32"/>
      <c r="DP9" s="32"/>
      <c r="DQ9" s="41"/>
      <c r="DR9" s="32"/>
      <c r="DS9" s="32"/>
      <c r="DT9" s="41"/>
      <c r="DU9" s="32"/>
      <c r="DV9" s="32"/>
      <c r="DW9" s="41"/>
      <c r="DX9" s="32"/>
      <c r="DY9" s="32"/>
      <c r="DZ9" s="41"/>
      <c r="EA9" s="32"/>
      <c r="EB9" s="32"/>
    </row>
    <row r="10" spans="1:13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6"/>
        <v>0</v>
      </c>
      <c r="G10" s="18" t="e">
        <f t="shared" si="4"/>
        <v>#VALUE!</v>
      </c>
      <c r="I10" s="29">
        <f t="shared" ca="1" si="5"/>
        <v>45783</v>
      </c>
      <c r="J10" s="34"/>
      <c r="K10" s="34"/>
      <c r="M10" s="16"/>
      <c r="N10" s="32"/>
      <c r="O10" s="32"/>
      <c r="P10" s="41"/>
      <c r="Q10" s="32"/>
      <c r="R10" s="32"/>
      <c r="S10" s="41"/>
      <c r="T10" s="32"/>
      <c r="U10" s="32"/>
      <c r="V10" s="41"/>
      <c r="W10" s="32"/>
      <c r="X10" s="32"/>
      <c r="Y10" s="41"/>
      <c r="Z10" s="32"/>
      <c r="AA10" s="32"/>
      <c r="AB10" s="41"/>
      <c r="AC10" s="32"/>
      <c r="AD10" s="32"/>
      <c r="AE10" s="41"/>
      <c r="AF10" s="32"/>
      <c r="AG10" s="32"/>
      <c r="AH10" s="41"/>
      <c r="AI10" s="32"/>
      <c r="AJ10" s="32"/>
      <c r="AK10" s="41"/>
      <c r="AL10" s="32"/>
      <c r="AM10" s="32"/>
      <c r="AN10" s="41"/>
      <c r="AO10" s="32"/>
      <c r="AP10" s="32"/>
      <c r="AQ10" s="41"/>
      <c r="AR10" s="32"/>
      <c r="AS10" s="32"/>
      <c r="AT10" s="41"/>
      <c r="AU10" s="32"/>
      <c r="AV10" s="32"/>
      <c r="AW10" s="41"/>
      <c r="AX10" s="32"/>
      <c r="AY10" s="32"/>
      <c r="AZ10" s="41"/>
      <c r="BA10" s="32"/>
      <c r="BB10" s="32"/>
      <c r="BC10" s="41"/>
      <c r="BD10" s="32"/>
      <c r="BE10" s="32"/>
      <c r="BF10" s="41"/>
      <c r="BG10" s="32"/>
      <c r="BH10" s="32"/>
      <c r="BI10" s="41"/>
      <c r="BJ10" s="32"/>
      <c r="BK10" s="32"/>
      <c r="BL10" s="41"/>
      <c r="BM10" s="32"/>
      <c r="BN10" s="32"/>
      <c r="BO10" s="41"/>
      <c r="BP10" s="32"/>
      <c r="BQ10" s="32"/>
      <c r="BR10" s="41"/>
      <c r="BS10" s="32"/>
      <c r="BT10" s="32"/>
      <c r="BU10" s="41"/>
      <c r="BV10" s="32"/>
      <c r="BW10" s="32"/>
      <c r="BX10" s="41"/>
      <c r="BY10" s="32"/>
      <c r="BZ10" s="32"/>
      <c r="CA10" s="41"/>
      <c r="CB10" s="32"/>
      <c r="CC10" s="32"/>
      <c r="CD10" s="41"/>
      <c r="CE10" s="32"/>
      <c r="CF10" s="32"/>
      <c r="CG10" s="41"/>
      <c r="CH10" s="32"/>
      <c r="CI10" s="32"/>
      <c r="CJ10" s="41"/>
      <c r="CK10" s="32"/>
      <c r="CL10" s="32"/>
      <c r="CM10" s="41"/>
      <c r="CN10" s="32"/>
      <c r="CO10" s="32"/>
      <c r="CP10" s="41"/>
      <c r="CQ10" s="32"/>
      <c r="CR10" s="32"/>
      <c r="CS10" s="41"/>
      <c r="CT10" s="32"/>
      <c r="CU10" s="32"/>
      <c r="CV10" s="41"/>
      <c r="CW10" s="32"/>
      <c r="CX10" s="32"/>
      <c r="CY10" s="41"/>
      <c r="CZ10" s="32"/>
      <c r="DA10" s="32"/>
      <c r="DB10" s="41"/>
      <c r="DC10" s="32"/>
      <c r="DD10" s="32"/>
      <c r="DE10" s="41"/>
      <c r="DF10" s="32"/>
      <c r="DG10" s="32"/>
      <c r="DH10" s="41"/>
      <c r="DI10" s="32"/>
      <c r="DJ10" s="32"/>
      <c r="DK10" s="41"/>
      <c r="DL10" s="32"/>
      <c r="DM10" s="32"/>
      <c r="DN10" s="41"/>
      <c r="DO10" s="32"/>
      <c r="DP10" s="32"/>
      <c r="DQ10" s="41"/>
      <c r="DR10" s="32"/>
      <c r="DS10" s="32"/>
      <c r="DT10" s="41"/>
      <c r="DU10" s="32"/>
      <c r="DV10" s="32"/>
      <c r="DW10" s="41"/>
      <c r="DX10" s="32"/>
      <c r="DY10" s="32"/>
      <c r="DZ10" s="41"/>
      <c r="EA10" s="32"/>
      <c r="EB10" s="32"/>
    </row>
    <row r="11" spans="1:13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6"/>
        <v>0</v>
      </c>
      <c r="G11" s="18" t="e">
        <f t="shared" si="4"/>
        <v>#VALUE!</v>
      </c>
      <c r="I11" s="29">
        <f t="shared" ca="1" si="5"/>
        <v>45784</v>
      </c>
      <c r="J11" s="32"/>
      <c r="K11" s="32"/>
      <c r="M11" s="16"/>
      <c r="N11" s="32"/>
      <c r="O11" s="32"/>
      <c r="P11" s="41"/>
      <c r="Q11" s="32"/>
      <c r="R11" s="32"/>
      <c r="S11" s="41"/>
      <c r="T11" s="32"/>
      <c r="U11" s="32"/>
      <c r="V11" s="41"/>
      <c r="W11" s="32"/>
      <c r="X11" s="32"/>
      <c r="Y11" s="41"/>
      <c r="Z11" s="32"/>
      <c r="AA11" s="32"/>
      <c r="AB11" s="41"/>
      <c r="AC11" s="32"/>
      <c r="AD11" s="32"/>
      <c r="AE11" s="41"/>
      <c r="AF11" s="32"/>
      <c r="AG11" s="32"/>
      <c r="AH11" s="41"/>
      <c r="AI11" s="32"/>
      <c r="AJ11" s="32"/>
      <c r="AK11" s="41"/>
      <c r="AL11" s="32"/>
      <c r="AM11" s="32"/>
      <c r="AN11" s="41"/>
      <c r="AO11" s="32"/>
      <c r="AP11" s="32"/>
      <c r="AQ11" s="41"/>
      <c r="AR11" s="32"/>
      <c r="AS11" s="32"/>
      <c r="AT11" s="41"/>
      <c r="AU11" s="32"/>
      <c r="AV11" s="32"/>
      <c r="AW11" s="41"/>
      <c r="AX11" s="32"/>
      <c r="AY11" s="32"/>
      <c r="AZ11" s="41"/>
      <c r="BA11" s="32"/>
      <c r="BB11" s="32"/>
      <c r="BC11" s="41"/>
      <c r="BD11" s="32"/>
      <c r="BE11" s="32"/>
      <c r="BF11" s="41"/>
      <c r="BG11" s="32"/>
      <c r="BH11" s="32"/>
      <c r="BI11" s="41"/>
      <c r="BJ11" s="32"/>
      <c r="BK11" s="32"/>
      <c r="BL11" s="41"/>
      <c r="BM11" s="32"/>
      <c r="BN11" s="32"/>
      <c r="BO11" s="41"/>
      <c r="BP11" s="32"/>
      <c r="BQ11" s="32"/>
      <c r="BR11" s="41"/>
      <c r="BS11" s="32"/>
      <c r="BT11" s="32"/>
      <c r="BU11" s="41"/>
      <c r="BV11" s="32"/>
      <c r="BW11" s="32"/>
      <c r="BX11" s="41"/>
      <c r="BY11" s="32"/>
      <c r="BZ11" s="32"/>
      <c r="CA11" s="41"/>
      <c r="CB11" s="32"/>
      <c r="CC11" s="32"/>
      <c r="CD11" s="41"/>
      <c r="CE11" s="32"/>
      <c r="CF11" s="32"/>
      <c r="CG11" s="41"/>
      <c r="CH11" s="32"/>
      <c r="CI11" s="32"/>
      <c r="CJ11" s="41"/>
      <c r="CK11" s="32"/>
      <c r="CL11" s="32"/>
      <c r="CM11" s="41"/>
      <c r="CN11" s="32"/>
      <c r="CO11" s="32"/>
      <c r="CP11" s="41"/>
      <c r="CQ11" s="32"/>
      <c r="CR11" s="32"/>
      <c r="CS11" s="41"/>
      <c r="CT11" s="32"/>
      <c r="CU11" s="32"/>
      <c r="CV11" s="41"/>
      <c r="CW11" s="32"/>
      <c r="CX11" s="32"/>
      <c r="CY11" s="41"/>
      <c r="CZ11" s="32"/>
      <c r="DA11" s="32"/>
      <c r="DB11" s="41"/>
      <c r="DC11" s="32"/>
      <c r="DD11" s="32"/>
      <c r="DE11" s="41"/>
      <c r="DF11" s="32"/>
      <c r="DG11" s="32"/>
      <c r="DH11" s="41"/>
      <c r="DI11" s="32"/>
      <c r="DJ11" s="32"/>
      <c r="DK11" s="41"/>
      <c r="DL11" s="32"/>
      <c r="DM11" s="32"/>
      <c r="DN11" s="41"/>
      <c r="DO11" s="32"/>
      <c r="DP11" s="32"/>
      <c r="DQ11" s="41"/>
      <c r="DR11" s="32"/>
      <c r="DS11" s="32"/>
      <c r="DT11" s="41"/>
      <c r="DU11" s="32"/>
      <c r="DV11" s="32"/>
      <c r="DW11" s="41"/>
      <c r="DX11" s="32"/>
      <c r="DY11" s="32"/>
      <c r="DZ11" s="41"/>
      <c r="EA11" s="32"/>
      <c r="EB11" s="32"/>
    </row>
    <row r="12" spans="1:13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6"/>
        <v>0</v>
      </c>
      <c r="G12" s="18" t="e">
        <f t="shared" si="4"/>
        <v>#VALUE!</v>
      </c>
      <c r="I12" s="29">
        <f t="shared" ca="1" si="5"/>
        <v>45785</v>
      </c>
      <c r="J12" s="32"/>
      <c r="K12" s="32"/>
      <c r="M12" s="16"/>
      <c r="N12" s="32"/>
      <c r="O12" s="32"/>
      <c r="P12" s="41"/>
      <c r="Q12" s="32"/>
      <c r="R12" s="32"/>
      <c r="S12" s="41"/>
      <c r="T12" s="32"/>
      <c r="U12" s="32"/>
      <c r="V12" s="41"/>
      <c r="W12" s="32"/>
      <c r="X12" s="32"/>
      <c r="Y12" s="41"/>
      <c r="Z12" s="32"/>
      <c r="AA12" s="32"/>
      <c r="AB12" s="41"/>
      <c r="AC12" s="32"/>
      <c r="AD12" s="32"/>
      <c r="AE12" s="41"/>
      <c r="AF12" s="32"/>
      <c r="AG12" s="32"/>
      <c r="AH12" s="41"/>
      <c r="AI12" s="32"/>
      <c r="AJ12" s="32"/>
      <c r="AK12" s="41"/>
      <c r="AL12" s="32"/>
      <c r="AM12" s="32"/>
      <c r="AN12" s="41"/>
      <c r="AO12" s="32"/>
      <c r="AP12" s="32"/>
      <c r="AQ12" s="41"/>
      <c r="AR12" s="32"/>
      <c r="AS12" s="32"/>
      <c r="AT12" s="41"/>
      <c r="AU12" s="32"/>
      <c r="AV12" s="32"/>
      <c r="AW12" s="41"/>
      <c r="AX12" s="32"/>
      <c r="AY12" s="32"/>
      <c r="AZ12" s="41"/>
      <c r="BA12" s="32"/>
      <c r="BB12" s="32"/>
      <c r="BC12" s="41"/>
      <c r="BD12" s="32"/>
      <c r="BE12" s="32"/>
      <c r="BF12" s="41"/>
      <c r="BG12" s="32"/>
      <c r="BH12" s="32"/>
      <c r="BI12" s="41"/>
      <c r="BJ12" s="32"/>
      <c r="BK12" s="32"/>
      <c r="BL12" s="41"/>
      <c r="BM12" s="32"/>
      <c r="BN12" s="32"/>
      <c r="BO12" s="41"/>
      <c r="BP12" s="32"/>
      <c r="BQ12" s="32"/>
      <c r="BR12" s="41"/>
      <c r="BS12" s="32"/>
      <c r="BT12" s="32"/>
      <c r="BU12" s="41"/>
      <c r="BV12" s="32"/>
      <c r="BW12" s="32"/>
      <c r="BX12" s="41"/>
      <c r="BY12" s="32"/>
      <c r="BZ12" s="32"/>
      <c r="CA12" s="41"/>
      <c r="CB12" s="32"/>
      <c r="CC12" s="32"/>
      <c r="CD12" s="41"/>
      <c r="CE12" s="32"/>
      <c r="CF12" s="32"/>
      <c r="CG12" s="41"/>
      <c r="CH12" s="32"/>
      <c r="CI12" s="32"/>
      <c r="CJ12" s="41"/>
      <c r="CK12" s="32"/>
      <c r="CL12" s="32"/>
      <c r="CM12" s="41"/>
      <c r="CN12" s="32"/>
      <c r="CO12" s="32"/>
      <c r="CP12" s="41"/>
      <c r="CQ12" s="32"/>
      <c r="CR12" s="32"/>
      <c r="CS12" s="41"/>
      <c r="CT12" s="32"/>
      <c r="CU12" s="32"/>
      <c r="CV12" s="41"/>
      <c r="CW12" s="32"/>
      <c r="CX12" s="32"/>
      <c r="CY12" s="41"/>
      <c r="CZ12" s="32"/>
      <c r="DA12" s="32"/>
      <c r="DB12" s="41"/>
      <c r="DC12" s="32"/>
      <c r="DD12" s="32"/>
      <c r="DE12" s="41"/>
      <c r="DF12" s="32"/>
      <c r="DG12" s="32"/>
      <c r="DH12" s="41"/>
      <c r="DI12" s="32"/>
      <c r="DJ12" s="32"/>
      <c r="DK12" s="41"/>
      <c r="DL12" s="32"/>
      <c r="DM12" s="32"/>
      <c r="DN12" s="41"/>
      <c r="DO12" s="32"/>
      <c r="DP12" s="32"/>
      <c r="DQ12" s="41"/>
      <c r="DR12" s="32"/>
      <c r="DS12" s="32"/>
      <c r="DT12" s="41"/>
      <c r="DU12" s="32"/>
      <c r="DV12" s="32"/>
      <c r="DW12" s="41"/>
      <c r="DX12" s="32"/>
      <c r="DY12" s="32"/>
      <c r="DZ12" s="41"/>
      <c r="EA12" s="32"/>
      <c r="EB12" s="32"/>
    </row>
    <row r="13" spans="1:13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6"/>
        <v>0</v>
      </c>
      <c r="G13" s="18" t="e">
        <f t="shared" si="4"/>
        <v>#VALUE!</v>
      </c>
      <c r="I13" s="29">
        <f t="shared" ca="1" si="5"/>
        <v>45786</v>
      </c>
      <c r="J13" s="34"/>
      <c r="K13" s="34"/>
      <c r="M13" s="16"/>
      <c r="N13" s="32"/>
      <c r="O13" s="32"/>
      <c r="P13" s="41"/>
      <c r="Q13" s="32"/>
      <c r="R13" s="32"/>
      <c r="S13" s="41"/>
      <c r="T13" s="32"/>
      <c r="U13" s="32"/>
      <c r="V13" s="41"/>
      <c r="W13" s="32"/>
      <c r="X13" s="32"/>
      <c r="Y13" s="41"/>
      <c r="Z13" s="32"/>
      <c r="AA13" s="32"/>
      <c r="AB13" s="41"/>
      <c r="AC13" s="32"/>
      <c r="AD13" s="32"/>
      <c r="AE13" s="41"/>
      <c r="AF13" s="32"/>
      <c r="AG13" s="32"/>
      <c r="AH13" s="41"/>
      <c r="AI13" s="32"/>
      <c r="AJ13" s="32"/>
      <c r="AK13" s="41"/>
      <c r="AL13" s="32"/>
      <c r="AM13" s="32"/>
      <c r="AN13" s="41"/>
      <c r="AO13" s="32"/>
      <c r="AP13" s="32"/>
      <c r="AQ13" s="41"/>
      <c r="AR13" s="32"/>
      <c r="AS13" s="32"/>
      <c r="AT13" s="41"/>
      <c r="AU13" s="32"/>
      <c r="AV13" s="32"/>
      <c r="AW13" s="41"/>
      <c r="AX13" s="32"/>
      <c r="AY13" s="32"/>
      <c r="AZ13" s="41"/>
      <c r="BA13" s="32"/>
      <c r="BB13" s="32"/>
      <c r="BC13" s="41"/>
      <c r="BD13" s="32"/>
      <c r="BE13" s="32"/>
      <c r="BF13" s="41"/>
      <c r="BG13" s="32"/>
      <c r="BH13" s="32"/>
      <c r="BI13" s="41"/>
      <c r="BJ13" s="32"/>
      <c r="BK13" s="32"/>
      <c r="BL13" s="41"/>
      <c r="BM13" s="32"/>
      <c r="BN13" s="32"/>
      <c r="BO13" s="41"/>
      <c r="BP13" s="32"/>
      <c r="BQ13" s="32"/>
      <c r="BR13" s="41"/>
      <c r="BS13" s="32"/>
      <c r="BT13" s="32"/>
      <c r="BU13" s="41"/>
      <c r="BV13" s="32"/>
      <c r="BW13" s="32"/>
      <c r="BX13" s="41"/>
      <c r="BY13" s="32"/>
      <c r="BZ13" s="32"/>
      <c r="CA13" s="41"/>
      <c r="CB13" s="32"/>
      <c r="CC13" s="32"/>
      <c r="CD13" s="41"/>
      <c r="CE13" s="32"/>
      <c r="CF13" s="32"/>
      <c r="CG13" s="41"/>
      <c r="CH13" s="32"/>
      <c r="CI13" s="32"/>
      <c r="CJ13" s="41"/>
      <c r="CK13" s="32"/>
      <c r="CL13" s="32"/>
      <c r="CM13" s="41"/>
      <c r="CN13" s="32"/>
      <c r="CO13" s="32"/>
      <c r="CP13" s="41"/>
      <c r="CQ13" s="32"/>
      <c r="CR13" s="32"/>
      <c r="CS13" s="41"/>
      <c r="CT13" s="32"/>
      <c r="CU13" s="32"/>
      <c r="CV13" s="41"/>
      <c r="CW13" s="32"/>
      <c r="CX13" s="32"/>
      <c r="CY13" s="41"/>
      <c r="CZ13" s="32"/>
      <c r="DA13" s="32"/>
      <c r="DB13" s="41"/>
      <c r="DC13" s="32"/>
      <c r="DD13" s="32"/>
      <c r="DE13" s="41"/>
      <c r="DF13" s="32"/>
      <c r="DG13" s="32"/>
      <c r="DH13" s="41"/>
      <c r="DI13" s="32"/>
      <c r="DJ13" s="32"/>
      <c r="DK13" s="41"/>
      <c r="DL13" s="32"/>
      <c r="DM13" s="32"/>
      <c r="DN13" s="41"/>
      <c r="DO13" s="32"/>
      <c r="DP13" s="32"/>
      <c r="DQ13" s="41"/>
      <c r="DR13" s="32"/>
      <c r="DS13" s="32"/>
      <c r="DT13" s="41"/>
      <c r="DU13" s="32"/>
      <c r="DV13" s="32"/>
      <c r="DW13" s="41"/>
      <c r="DX13" s="32"/>
      <c r="DY13" s="32"/>
      <c r="DZ13" s="41"/>
      <c r="EA13" s="32"/>
      <c r="EB13" s="32"/>
    </row>
    <row r="14" spans="1:13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6"/>
        <v>0</v>
      </c>
      <c r="G14" s="18" t="e">
        <f t="shared" si="4"/>
        <v>#VALUE!</v>
      </c>
      <c r="I14" s="29">
        <f t="shared" ca="1" si="5"/>
        <v>45787</v>
      </c>
      <c r="J14" s="34"/>
      <c r="K14" s="34"/>
      <c r="M14" s="16"/>
      <c r="N14" s="32"/>
      <c r="O14" s="32"/>
      <c r="P14" s="41"/>
      <c r="Q14" s="32"/>
      <c r="R14" s="32"/>
      <c r="S14" s="41"/>
      <c r="T14" s="32"/>
      <c r="U14" s="32"/>
      <c r="V14" s="41"/>
      <c r="W14" s="32"/>
      <c r="X14" s="32"/>
      <c r="Y14" s="41"/>
      <c r="Z14" s="32"/>
      <c r="AA14" s="32"/>
      <c r="AB14" s="41"/>
      <c r="AC14" s="32"/>
      <c r="AD14" s="32"/>
      <c r="AE14" s="41"/>
      <c r="AF14" s="32"/>
      <c r="AG14" s="32"/>
      <c r="AH14" s="41"/>
      <c r="AI14" s="32"/>
      <c r="AJ14" s="32"/>
      <c r="AK14" s="41"/>
      <c r="AL14" s="32"/>
      <c r="AM14" s="32"/>
      <c r="AN14" s="41"/>
      <c r="AO14" s="32"/>
      <c r="AP14" s="32"/>
      <c r="AQ14" s="41"/>
      <c r="AR14" s="32"/>
      <c r="AS14" s="32"/>
      <c r="AT14" s="41"/>
      <c r="AU14" s="32"/>
      <c r="AV14" s="32"/>
      <c r="AW14" s="41"/>
      <c r="AX14" s="32"/>
      <c r="AY14" s="32"/>
      <c r="AZ14" s="41"/>
      <c r="BA14" s="32"/>
      <c r="BB14" s="32"/>
      <c r="BC14" s="41"/>
      <c r="BD14" s="32"/>
      <c r="BE14" s="32"/>
      <c r="BF14" s="41"/>
      <c r="BG14" s="32"/>
      <c r="BH14" s="32"/>
      <c r="BI14" s="41"/>
      <c r="BJ14" s="32"/>
      <c r="BK14" s="32"/>
      <c r="BL14" s="41"/>
      <c r="BM14" s="32"/>
      <c r="BN14" s="32"/>
      <c r="BO14" s="41"/>
      <c r="BP14" s="32"/>
      <c r="BQ14" s="32"/>
      <c r="BR14" s="41"/>
      <c r="BS14" s="32"/>
      <c r="BT14" s="32"/>
      <c r="BU14" s="41"/>
      <c r="BV14" s="32"/>
      <c r="BW14" s="32"/>
      <c r="BX14" s="41"/>
      <c r="BY14" s="32"/>
      <c r="BZ14" s="32"/>
      <c r="CA14" s="41"/>
      <c r="CB14" s="32"/>
      <c r="CC14" s="32"/>
      <c r="CD14" s="41"/>
      <c r="CE14" s="32"/>
      <c r="CF14" s="32"/>
      <c r="CG14" s="41"/>
      <c r="CH14" s="32"/>
      <c r="CI14" s="32"/>
      <c r="CJ14" s="41"/>
      <c r="CK14" s="32"/>
      <c r="CL14" s="32"/>
      <c r="CM14" s="41"/>
      <c r="CN14" s="32"/>
      <c r="CO14" s="32"/>
      <c r="CP14" s="41"/>
      <c r="CQ14" s="32"/>
      <c r="CR14" s="32"/>
      <c r="CS14" s="41"/>
      <c r="CT14" s="32"/>
      <c r="CU14" s="32"/>
      <c r="CV14" s="41"/>
      <c r="CW14" s="32"/>
      <c r="CX14" s="32"/>
      <c r="CY14" s="41"/>
      <c r="CZ14" s="32"/>
      <c r="DA14" s="32"/>
      <c r="DB14" s="41"/>
      <c r="DC14" s="32"/>
      <c r="DD14" s="32"/>
      <c r="DE14" s="41"/>
      <c r="DF14" s="32"/>
      <c r="DG14" s="32"/>
      <c r="DH14" s="41"/>
      <c r="DI14" s="32"/>
      <c r="DJ14" s="32"/>
      <c r="DK14" s="41"/>
      <c r="DL14" s="32"/>
      <c r="DM14" s="32"/>
      <c r="DN14" s="41"/>
      <c r="DO14" s="32"/>
      <c r="DP14" s="32"/>
      <c r="DQ14" s="41"/>
      <c r="DR14" s="32"/>
      <c r="DS14" s="32"/>
      <c r="DT14" s="41"/>
      <c r="DU14" s="32"/>
      <c r="DV14" s="32"/>
      <c r="DW14" s="41"/>
      <c r="DX14" s="32"/>
      <c r="DY14" s="32"/>
      <c r="DZ14" s="41"/>
      <c r="EA14" s="32"/>
      <c r="EB14" s="32"/>
    </row>
    <row r="15" spans="1:13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6"/>
        <v>0</v>
      </c>
      <c r="G15" s="18" t="e">
        <f t="shared" si="4"/>
        <v>#VALUE!</v>
      </c>
      <c r="I15" s="29">
        <f t="shared" ca="1" si="5"/>
        <v>45788</v>
      </c>
      <c r="J15" s="34"/>
      <c r="K15" s="34"/>
      <c r="M15" s="16"/>
      <c r="N15" s="32"/>
      <c r="O15" s="32"/>
      <c r="P15" s="41"/>
      <c r="Q15" s="32"/>
      <c r="R15" s="32"/>
      <c r="S15" s="41"/>
      <c r="T15" s="32"/>
      <c r="U15" s="32"/>
      <c r="V15" s="41"/>
      <c r="W15" s="32"/>
      <c r="X15" s="32"/>
      <c r="Y15" s="41"/>
      <c r="Z15" s="32"/>
      <c r="AA15" s="32"/>
      <c r="AB15" s="41"/>
      <c r="AC15" s="32"/>
      <c r="AD15" s="32"/>
      <c r="AE15" s="41"/>
      <c r="AF15" s="32"/>
      <c r="AG15" s="32"/>
      <c r="AH15" s="41"/>
      <c r="AI15" s="32"/>
      <c r="AJ15" s="32"/>
      <c r="AK15" s="41"/>
      <c r="AL15" s="32"/>
      <c r="AM15" s="32"/>
      <c r="AN15" s="41"/>
      <c r="AO15" s="32"/>
      <c r="AP15" s="32"/>
      <c r="AQ15" s="41"/>
      <c r="AR15" s="32"/>
      <c r="AS15" s="32"/>
      <c r="AT15" s="41"/>
      <c r="AU15" s="32"/>
      <c r="AV15" s="32"/>
      <c r="AW15" s="41"/>
      <c r="AX15" s="32"/>
      <c r="AY15" s="32"/>
      <c r="AZ15" s="41"/>
      <c r="BA15" s="32"/>
      <c r="BB15" s="32"/>
      <c r="BC15" s="41"/>
      <c r="BD15" s="32"/>
      <c r="BE15" s="32"/>
      <c r="BF15" s="41"/>
      <c r="BG15" s="32"/>
      <c r="BH15" s="32"/>
      <c r="BI15" s="41"/>
      <c r="BJ15" s="32"/>
      <c r="BK15" s="32"/>
      <c r="BL15" s="41"/>
      <c r="BM15" s="32"/>
      <c r="BN15" s="32"/>
      <c r="BO15" s="41"/>
      <c r="BP15" s="32"/>
      <c r="BQ15" s="32"/>
      <c r="BR15" s="41"/>
      <c r="BS15" s="32"/>
      <c r="BT15" s="32"/>
      <c r="BU15" s="41"/>
      <c r="BV15" s="32"/>
      <c r="BW15" s="32"/>
      <c r="BX15" s="41"/>
      <c r="BY15" s="32"/>
      <c r="BZ15" s="32"/>
      <c r="CA15" s="41"/>
      <c r="CB15" s="32"/>
      <c r="CC15" s="32"/>
      <c r="CD15" s="41"/>
      <c r="CE15" s="32"/>
      <c r="CF15" s="32"/>
      <c r="CG15" s="41"/>
      <c r="CH15" s="32"/>
      <c r="CI15" s="32"/>
      <c r="CJ15" s="41"/>
      <c r="CK15" s="32"/>
      <c r="CL15" s="32"/>
      <c r="CM15" s="41"/>
      <c r="CN15" s="32"/>
      <c r="CO15" s="32"/>
      <c r="CP15" s="41"/>
      <c r="CQ15" s="32"/>
      <c r="CR15" s="32"/>
      <c r="CS15" s="41"/>
      <c r="CT15" s="32"/>
      <c r="CU15" s="32"/>
      <c r="CV15" s="41"/>
      <c r="CW15" s="32"/>
      <c r="CX15" s="32"/>
      <c r="CY15" s="41"/>
      <c r="CZ15" s="32"/>
      <c r="DA15" s="32"/>
      <c r="DB15" s="41"/>
      <c r="DC15" s="32"/>
      <c r="DD15" s="32"/>
      <c r="DE15" s="41"/>
      <c r="DF15" s="32"/>
      <c r="DG15" s="32"/>
      <c r="DH15" s="41"/>
      <c r="DI15" s="32"/>
      <c r="DJ15" s="32"/>
      <c r="DK15" s="41"/>
      <c r="DL15" s="32"/>
      <c r="DM15" s="32"/>
      <c r="DN15" s="41"/>
      <c r="DO15" s="32"/>
      <c r="DP15" s="32"/>
      <c r="DQ15" s="41"/>
      <c r="DR15" s="32"/>
      <c r="DS15" s="32"/>
      <c r="DT15" s="41"/>
      <c r="DU15" s="32"/>
      <c r="DV15" s="32"/>
      <c r="DW15" s="41"/>
      <c r="DX15" s="32"/>
      <c r="DY15" s="32"/>
      <c r="DZ15" s="41"/>
      <c r="EA15" s="32"/>
      <c r="EB15" s="32"/>
    </row>
    <row r="16" spans="1:13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6"/>
        <v>0</v>
      </c>
      <c r="G16" s="18" t="e">
        <f t="shared" si="4"/>
        <v>#VALUE!</v>
      </c>
      <c r="I16" s="29">
        <f t="shared" ca="1" si="5"/>
        <v>45789</v>
      </c>
      <c r="J16" s="34"/>
      <c r="K16" s="34"/>
      <c r="M16" s="16"/>
      <c r="N16" s="32"/>
      <c r="O16" s="32"/>
      <c r="P16" s="41"/>
      <c r="Q16" s="32"/>
      <c r="R16" s="32"/>
      <c r="S16" s="41"/>
      <c r="T16" s="32"/>
      <c r="U16" s="32"/>
      <c r="V16" s="41"/>
      <c r="W16" s="32"/>
      <c r="X16" s="32"/>
      <c r="Y16" s="41"/>
      <c r="Z16" s="32"/>
      <c r="AA16" s="32"/>
      <c r="AB16" s="41"/>
      <c r="AC16" s="32"/>
      <c r="AD16" s="32"/>
      <c r="AE16" s="41"/>
      <c r="AF16" s="32"/>
      <c r="AG16" s="32"/>
      <c r="AH16" s="41"/>
      <c r="AI16" s="32"/>
      <c r="AJ16" s="32"/>
      <c r="AK16" s="41"/>
      <c r="AL16" s="32"/>
      <c r="AM16" s="32"/>
      <c r="AN16" s="41"/>
      <c r="AO16" s="32"/>
      <c r="AP16" s="32"/>
      <c r="AQ16" s="41"/>
      <c r="AR16" s="32"/>
      <c r="AS16" s="32"/>
      <c r="AT16" s="41"/>
      <c r="AU16" s="32"/>
      <c r="AV16" s="32"/>
      <c r="AW16" s="41"/>
      <c r="AX16" s="32"/>
      <c r="AY16" s="32"/>
      <c r="AZ16" s="41"/>
      <c r="BA16" s="32"/>
      <c r="BB16" s="32"/>
      <c r="BC16" s="41"/>
      <c r="BD16" s="32"/>
      <c r="BE16" s="32"/>
      <c r="BF16" s="41"/>
      <c r="BG16" s="32"/>
      <c r="BH16" s="32"/>
      <c r="BI16" s="41"/>
      <c r="BJ16" s="32"/>
      <c r="BK16" s="32"/>
      <c r="BL16" s="41"/>
      <c r="BM16" s="32"/>
      <c r="BN16" s="32"/>
      <c r="BO16" s="41"/>
      <c r="BP16" s="32"/>
      <c r="BQ16" s="32"/>
      <c r="BR16" s="41"/>
      <c r="BS16" s="32"/>
      <c r="BT16" s="32"/>
      <c r="BU16" s="41"/>
      <c r="BV16" s="32"/>
      <c r="BW16" s="32"/>
      <c r="BX16" s="41"/>
      <c r="BY16" s="32"/>
      <c r="BZ16" s="32"/>
      <c r="CA16" s="41"/>
      <c r="CB16" s="32"/>
      <c r="CC16" s="32"/>
      <c r="CD16" s="41"/>
      <c r="CE16" s="32"/>
      <c r="CF16" s="32"/>
      <c r="CG16" s="41"/>
      <c r="CH16" s="32"/>
      <c r="CI16" s="32"/>
      <c r="CJ16" s="41"/>
      <c r="CK16" s="32"/>
      <c r="CL16" s="32"/>
      <c r="CM16" s="41"/>
      <c r="CN16" s="32"/>
      <c r="CO16" s="32"/>
      <c r="CP16" s="41"/>
      <c r="CQ16" s="32"/>
      <c r="CR16" s="32"/>
      <c r="CS16" s="41"/>
      <c r="CT16" s="32"/>
      <c r="CU16" s="32"/>
      <c r="CV16" s="41"/>
      <c r="CW16" s="32"/>
      <c r="CX16" s="32"/>
      <c r="CY16" s="41"/>
      <c r="CZ16" s="32"/>
      <c r="DA16" s="32"/>
      <c r="DB16" s="41"/>
      <c r="DC16" s="32"/>
      <c r="DD16" s="32"/>
      <c r="DE16" s="41"/>
      <c r="DF16" s="32"/>
      <c r="DG16" s="32"/>
      <c r="DH16" s="41"/>
      <c r="DI16" s="32"/>
      <c r="DJ16" s="32"/>
      <c r="DK16" s="41"/>
      <c r="DL16" s="32"/>
      <c r="DM16" s="32"/>
      <c r="DN16" s="41"/>
      <c r="DO16" s="32"/>
      <c r="DP16" s="32"/>
      <c r="DQ16" s="41"/>
      <c r="DR16" s="32"/>
      <c r="DS16" s="32"/>
      <c r="DT16" s="41"/>
      <c r="DU16" s="32"/>
      <c r="DV16" s="32"/>
      <c r="DW16" s="41"/>
      <c r="DX16" s="32"/>
      <c r="DY16" s="32"/>
      <c r="DZ16" s="41"/>
      <c r="EA16" s="32"/>
      <c r="EB16" s="32"/>
    </row>
    <row r="17" spans="1:137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>D17-C17</f>
        <v>0</v>
      </c>
      <c r="G17" s="18" t="e">
        <f t="shared" si="4"/>
        <v>#VALUE!</v>
      </c>
      <c r="I17" s="29">
        <f t="shared" ca="1" si="5"/>
        <v>45790</v>
      </c>
      <c r="J17" s="34"/>
      <c r="K17" s="34"/>
      <c r="M17" s="16"/>
      <c r="N17" s="32"/>
      <c r="O17" s="32"/>
      <c r="P17" s="41"/>
      <c r="Q17" s="32"/>
      <c r="R17" s="32"/>
      <c r="S17" s="41"/>
      <c r="T17" s="32"/>
      <c r="U17" s="32"/>
      <c r="V17" s="41"/>
      <c r="W17" s="32"/>
      <c r="X17" s="32"/>
      <c r="Y17" s="41"/>
      <c r="Z17" s="32"/>
      <c r="AA17" s="32"/>
      <c r="AB17" s="41"/>
      <c r="AC17" s="32"/>
      <c r="AD17" s="32"/>
      <c r="AE17" s="41"/>
      <c r="AF17" s="32"/>
      <c r="AG17" s="32"/>
      <c r="AH17" s="41"/>
      <c r="AI17" s="32"/>
      <c r="AJ17" s="32"/>
      <c r="AK17" s="41"/>
      <c r="AL17" s="32"/>
      <c r="AM17" s="32"/>
      <c r="AN17" s="41"/>
      <c r="AO17" s="32"/>
      <c r="AP17" s="32"/>
      <c r="AQ17" s="41"/>
      <c r="AR17" s="32"/>
      <c r="AS17" s="32"/>
      <c r="AT17" s="41"/>
      <c r="AU17" s="32"/>
      <c r="AV17" s="32"/>
      <c r="AW17" s="41"/>
      <c r="AX17" s="32"/>
      <c r="AY17" s="32"/>
      <c r="AZ17" s="41"/>
      <c r="BA17" s="32"/>
      <c r="BB17" s="32"/>
      <c r="BC17" s="41"/>
      <c r="BD17" s="32"/>
      <c r="BE17" s="32"/>
      <c r="BF17" s="41"/>
      <c r="BG17" s="32"/>
      <c r="BH17" s="32"/>
      <c r="BI17" s="41"/>
      <c r="BJ17" s="32"/>
      <c r="BK17" s="32"/>
      <c r="BL17" s="41"/>
      <c r="BM17" s="32"/>
      <c r="BN17" s="32"/>
      <c r="BO17" s="41"/>
      <c r="BP17" s="32"/>
      <c r="BQ17" s="32"/>
      <c r="BR17" s="41"/>
      <c r="BS17" s="32"/>
      <c r="BT17" s="32"/>
      <c r="BU17" s="41"/>
      <c r="BV17" s="32"/>
      <c r="BW17" s="32"/>
      <c r="BX17" s="41"/>
      <c r="BY17" s="32"/>
      <c r="BZ17" s="32"/>
      <c r="CA17" s="41"/>
      <c r="CB17" s="32"/>
      <c r="CC17" s="32"/>
      <c r="CD17" s="41"/>
      <c r="CE17" s="32"/>
      <c r="CF17" s="32"/>
      <c r="CG17" s="41"/>
      <c r="CH17" s="32"/>
      <c r="CI17" s="32"/>
      <c r="CJ17" s="41"/>
      <c r="CK17" s="32"/>
      <c r="CL17" s="32"/>
      <c r="CM17" s="41"/>
      <c r="CN17" s="32"/>
      <c r="CO17" s="32"/>
      <c r="CP17" s="41"/>
      <c r="CQ17" s="32"/>
      <c r="CR17" s="32"/>
      <c r="CS17" s="41"/>
      <c r="CT17" s="32"/>
      <c r="CU17" s="32"/>
      <c r="CV17" s="41"/>
      <c r="CW17" s="32"/>
      <c r="CX17" s="32"/>
      <c r="CY17" s="41"/>
      <c r="CZ17" s="32"/>
      <c r="DA17" s="32"/>
      <c r="DB17" s="41"/>
      <c r="DC17" s="32"/>
      <c r="DD17" s="32"/>
      <c r="DE17" s="41"/>
      <c r="DF17" s="32"/>
      <c r="DG17" s="32"/>
      <c r="DH17" s="41"/>
      <c r="DI17" s="32"/>
      <c r="DJ17" s="32"/>
      <c r="DK17" s="41"/>
      <c r="DL17" s="32"/>
      <c r="DM17" s="32"/>
      <c r="DN17" s="41"/>
      <c r="DO17" s="32"/>
      <c r="DP17" s="32"/>
      <c r="DQ17" s="41"/>
      <c r="DR17" s="32"/>
      <c r="DS17" s="32"/>
      <c r="DT17" s="41"/>
      <c r="DU17" s="32"/>
      <c r="DV17" s="32"/>
      <c r="DW17" s="41"/>
      <c r="DX17" s="32"/>
      <c r="DY17" s="32"/>
      <c r="DZ17" s="41"/>
      <c r="EA17" s="32"/>
      <c r="EB17" s="32"/>
    </row>
    <row r="18" spans="1:137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>IF(J18="","",J18)</f>
        <v/>
      </c>
      <c r="F18" s="15">
        <f t="shared" si="6"/>
        <v>0</v>
      </c>
      <c r="G18" s="18" t="e">
        <f t="shared" si="4"/>
        <v>#VALUE!</v>
      </c>
      <c r="I18" s="29">
        <f t="shared" ca="1" si="5"/>
        <v>45791</v>
      </c>
      <c r="J18" s="32"/>
      <c r="K18" s="32"/>
      <c r="M18" s="16"/>
      <c r="N18" s="32"/>
      <c r="O18" s="32"/>
      <c r="P18" s="41"/>
      <c r="Q18" s="32"/>
      <c r="R18" s="32"/>
      <c r="S18" s="41"/>
      <c r="T18" s="32"/>
      <c r="U18" s="32"/>
      <c r="V18" s="41"/>
      <c r="W18" s="32"/>
      <c r="X18" s="32"/>
      <c r="Y18" s="41"/>
      <c r="Z18" s="32"/>
      <c r="AA18" s="32"/>
      <c r="AB18" s="41"/>
      <c r="AC18" s="32"/>
      <c r="AD18" s="32"/>
      <c r="AE18" s="41"/>
      <c r="AF18" s="32"/>
      <c r="AG18" s="32"/>
      <c r="AH18" s="41"/>
      <c r="AI18" s="32"/>
      <c r="AJ18" s="32"/>
      <c r="AK18" s="41"/>
      <c r="AL18" s="32"/>
      <c r="AM18" s="32"/>
      <c r="AN18" s="41"/>
      <c r="AO18" s="32"/>
      <c r="AP18" s="32"/>
      <c r="AQ18" s="41"/>
      <c r="AR18" s="32"/>
      <c r="AS18" s="32"/>
      <c r="AT18" s="41"/>
      <c r="AU18" s="32"/>
      <c r="AV18" s="32"/>
      <c r="AW18" s="41"/>
      <c r="AX18" s="32"/>
      <c r="AY18" s="32"/>
      <c r="AZ18" s="41"/>
      <c r="BA18" s="32"/>
      <c r="BB18" s="32"/>
      <c r="BC18" s="41"/>
      <c r="BD18" s="32"/>
      <c r="BE18" s="32"/>
      <c r="BF18" s="41"/>
      <c r="BG18" s="32"/>
      <c r="BH18" s="32"/>
      <c r="BI18" s="41"/>
      <c r="BJ18" s="32"/>
      <c r="BK18" s="32"/>
      <c r="BL18" s="41"/>
      <c r="BM18" s="32"/>
      <c r="BN18" s="32"/>
      <c r="BO18" s="41"/>
      <c r="BP18" s="32"/>
      <c r="BQ18" s="32"/>
      <c r="BR18" s="41"/>
      <c r="BS18" s="32"/>
      <c r="BT18" s="32"/>
      <c r="BU18" s="41"/>
      <c r="BV18" s="32"/>
      <c r="BW18" s="32"/>
      <c r="BX18" s="41"/>
      <c r="BY18" s="32"/>
      <c r="BZ18" s="32"/>
      <c r="CA18" s="41"/>
      <c r="CB18" s="32"/>
      <c r="CC18" s="32"/>
      <c r="CD18" s="41"/>
      <c r="CE18" s="32"/>
      <c r="CF18" s="32"/>
      <c r="CG18" s="41"/>
      <c r="CH18" s="32"/>
      <c r="CI18" s="32"/>
      <c r="CJ18" s="41"/>
      <c r="CK18" s="32"/>
      <c r="CL18" s="32"/>
      <c r="CM18" s="41"/>
      <c r="CN18" s="32"/>
      <c r="CO18" s="32"/>
      <c r="CP18" s="41"/>
      <c r="CQ18" s="32"/>
      <c r="CR18" s="32"/>
      <c r="CS18" s="41"/>
      <c r="CT18" s="32"/>
      <c r="CU18" s="32"/>
      <c r="CV18" s="41"/>
      <c r="CW18" s="32"/>
      <c r="CX18" s="32"/>
      <c r="CY18" s="41"/>
      <c r="CZ18" s="32"/>
      <c r="DA18" s="32"/>
      <c r="DB18" s="41"/>
      <c r="DC18" s="32"/>
      <c r="DD18" s="32"/>
      <c r="DE18" s="41"/>
      <c r="DF18" s="32"/>
      <c r="DG18" s="32"/>
      <c r="DH18" s="41"/>
      <c r="DI18" s="32"/>
      <c r="DJ18" s="32"/>
      <c r="DK18" s="41"/>
      <c r="DL18" s="32"/>
      <c r="DM18" s="32"/>
      <c r="DN18" s="41"/>
      <c r="DO18" s="32"/>
      <c r="DP18" s="32"/>
      <c r="DQ18" s="41"/>
      <c r="DR18" s="32"/>
      <c r="DS18" s="32"/>
      <c r="DT18" s="41"/>
      <c r="DU18" s="32"/>
      <c r="DV18" s="32"/>
      <c r="DW18" s="41"/>
      <c r="DX18" s="32"/>
      <c r="DY18" s="32"/>
      <c r="DZ18" s="41"/>
      <c r="EA18" s="32"/>
      <c r="EB18" s="32"/>
    </row>
    <row r="19" spans="1:137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6"/>
        <v>0</v>
      </c>
      <c r="G19" s="18" t="e">
        <f t="shared" si="4"/>
        <v>#VALUE!</v>
      </c>
      <c r="I19" s="29">
        <f t="shared" ca="1" si="5"/>
        <v>45792</v>
      </c>
      <c r="J19" s="34"/>
      <c r="K19" s="34"/>
      <c r="M19" s="16"/>
      <c r="N19" s="32"/>
      <c r="O19" s="32"/>
      <c r="P19" s="41"/>
      <c r="Q19" s="32"/>
      <c r="R19" s="32"/>
      <c r="S19" s="41"/>
      <c r="T19" s="32"/>
      <c r="U19" s="32"/>
      <c r="V19" s="41"/>
      <c r="W19" s="32"/>
      <c r="X19" s="32"/>
      <c r="Y19" s="41"/>
      <c r="Z19" s="32"/>
      <c r="AA19" s="32"/>
      <c r="AB19" s="41"/>
      <c r="AC19" s="32"/>
      <c r="AD19" s="32"/>
      <c r="AE19" s="41"/>
      <c r="AF19" s="32"/>
      <c r="AG19" s="32"/>
      <c r="AH19" s="41"/>
      <c r="AI19" s="32"/>
      <c r="AJ19" s="32"/>
      <c r="AK19" s="41"/>
      <c r="AL19" s="32"/>
      <c r="AM19" s="32"/>
      <c r="AN19" s="41"/>
      <c r="AO19" s="32"/>
      <c r="AP19" s="32"/>
      <c r="AQ19" s="41"/>
      <c r="AR19" s="32"/>
      <c r="AS19" s="32"/>
      <c r="AT19" s="41"/>
      <c r="AU19" s="32"/>
      <c r="AV19" s="32"/>
      <c r="AW19" s="41"/>
      <c r="AX19" s="32"/>
      <c r="AY19" s="32"/>
      <c r="AZ19" s="41"/>
      <c r="BA19" s="32"/>
      <c r="BB19" s="32"/>
      <c r="BC19" s="41"/>
      <c r="BD19" s="32"/>
      <c r="BE19" s="32"/>
      <c r="BF19" s="41"/>
      <c r="BG19" s="32"/>
      <c r="BH19" s="32"/>
      <c r="BI19" s="41"/>
      <c r="BJ19" s="32"/>
      <c r="BK19" s="32"/>
      <c r="BL19" s="41"/>
      <c r="BM19" s="32"/>
      <c r="BN19" s="32"/>
      <c r="BO19" s="41"/>
      <c r="BP19" s="32"/>
      <c r="BQ19" s="32"/>
      <c r="BR19" s="41"/>
      <c r="BS19" s="32"/>
      <c r="BT19" s="32"/>
      <c r="BU19" s="41"/>
      <c r="BV19" s="32"/>
      <c r="BW19" s="32"/>
      <c r="BX19" s="41"/>
      <c r="BY19" s="32"/>
      <c r="BZ19" s="32"/>
      <c r="CA19" s="41"/>
      <c r="CB19" s="32"/>
      <c r="CC19" s="32"/>
      <c r="CD19" s="41"/>
      <c r="CE19" s="32"/>
      <c r="CF19" s="32"/>
      <c r="CG19" s="41"/>
      <c r="CH19" s="32"/>
      <c r="CI19" s="32"/>
      <c r="CJ19" s="41"/>
      <c r="CK19" s="32"/>
      <c r="CL19" s="32"/>
      <c r="CM19" s="41"/>
      <c r="CN19" s="32"/>
      <c r="CO19" s="32"/>
      <c r="CP19" s="41"/>
      <c r="CQ19" s="32"/>
      <c r="CR19" s="32"/>
      <c r="CS19" s="41"/>
      <c r="CT19" s="32"/>
      <c r="CU19" s="32"/>
      <c r="CV19" s="41"/>
      <c r="CW19" s="32"/>
      <c r="CX19" s="32"/>
      <c r="CY19" s="41"/>
      <c r="CZ19" s="32"/>
      <c r="DA19" s="32"/>
      <c r="DB19" s="41"/>
      <c r="DC19" s="32"/>
      <c r="DD19" s="32"/>
      <c r="DE19" s="41"/>
      <c r="DF19" s="32"/>
      <c r="DG19" s="32"/>
      <c r="DH19" s="41"/>
      <c r="DI19" s="32"/>
      <c r="DJ19" s="32"/>
      <c r="DK19" s="41"/>
      <c r="DL19" s="32"/>
      <c r="DM19" s="32"/>
      <c r="DN19" s="41"/>
      <c r="DO19" s="32"/>
      <c r="DP19" s="32"/>
      <c r="DQ19" s="41"/>
      <c r="DR19" s="32"/>
      <c r="DS19" s="32"/>
      <c r="DT19" s="41"/>
      <c r="DU19" s="32"/>
      <c r="DV19" s="32"/>
      <c r="DW19" s="41"/>
      <c r="DX19" s="32"/>
      <c r="DY19" s="32"/>
      <c r="DZ19" s="41"/>
      <c r="EA19" s="32"/>
      <c r="EB19" s="32"/>
    </row>
    <row r="20" spans="1:137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6"/>
        <v>0</v>
      </c>
      <c r="G20" s="18" t="e">
        <f t="shared" si="4"/>
        <v>#VALUE!</v>
      </c>
      <c r="I20" s="29">
        <f t="shared" ca="1" si="5"/>
        <v>45793</v>
      </c>
      <c r="J20" s="32"/>
      <c r="K20" s="34"/>
      <c r="M20" s="16"/>
      <c r="N20" s="32"/>
      <c r="O20" s="32"/>
      <c r="P20" s="41"/>
      <c r="Q20" s="32"/>
      <c r="R20" s="32"/>
      <c r="S20" s="41"/>
      <c r="T20" s="32"/>
      <c r="U20" s="32"/>
      <c r="V20" s="41"/>
      <c r="W20" s="32"/>
      <c r="X20" s="32"/>
      <c r="Y20" s="41"/>
      <c r="Z20" s="32"/>
      <c r="AA20" s="32"/>
      <c r="AB20" s="41"/>
      <c r="AC20" s="32"/>
      <c r="AD20" s="32"/>
      <c r="AE20" s="41"/>
      <c r="AF20" s="32"/>
      <c r="AG20" s="32"/>
      <c r="AH20" s="41"/>
      <c r="AI20" s="32"/>
      <c r="AJ20" s="32"/>
      <c r="AK20" s="41"/>
      <c r="AL20" s="32"/>
      <c r="AM20" s="32"/>
      <c r="AN20" s="41"/>
      <c r="AO20" s="32"/>
      <c r="AP20" s="32"/>
      <c r="AQ20" s="41"/>
      <c r="AR20" s="32"/>
      <c r="AS20" s="32"/>
      <c r="AT20" s="41"/>
      <c r="AU20" s="32"/>
      <c r="AV20" s="32"/>
      <c r="AW20" s="41"/>
      <c r="AX20" s="32"/>
      <c r="AY20" s="32"/>
      <c r="AZ20" s="41"/>
      <c r="BA20" s="32"/>
      <c r="BB20" s="32"/>
      <c r="BC20" s="41"/>
      <c r="BD20" s="32"/>
      <c r="BE20" s="32"/>
      <c r="BF20" s="41"/>
      <c r="BG20" s="32"/>
      <c r="BH20" s="32"/>
      <c r="BI20" s="41"/>
      <c r="BJ20" s="32"/>
      <c r="BK20" s="32"/>
      <c r="BL20" s="41"/>
      <c r="BM20" s="32"/>
      <c r="BN20" s="32"/>
      <c r="BO20" s="41"/>
      <c r="BP20" s="32"/>
      <c r="BQ20" s="32"/>
      <c r="BR20" s="41"/>
      <c r="BS20" s="32"/>
      <c r="BT20" s="32"/>
      <c r="BU20" s="41"/>
      <c r="BV20" s="32"/>
      <c r="BW20" s="32"/>
      <c r="BX20" s="41"/>
      <c r="BY20" s="32"/>
      <c r="BZ20" s="32"/>
      <c r="CA20" s="41"/>
      <c r="CB20" s="32"/>
      <c r="CC20" s="32"/>
      <c r="CD20" s="41"/>
      <c r="CE20" s="32"/>
      <c r="CF20" s="32"/>
      <c r="CG20" s="41"/>
      <c r="CH20" s="32"/>
      <c r="CI20" s="32"/>
      <c r="CJ20" s="41"/>
      <c r="CK20" s="32"/>
      <c r="CL20" s="32"/>
      <c r="CM20" s="41"/>
      <c r="CN20" s="32"/>
      <c r="CO20" s="32"/>
      <c r="CP20" s="41"/>
      <c r="CQ20" s="32"/>
      <c r="CR20" s="32"/>
      <c r="CS20" s="41"/>
      <c r="CT20" s="32"/>
      <c r="CU20" s="32"/>
      <c r="CV20" s="41"/>
      <c r="CW20" s="32"/>
      <c r="CX20" s="32"/>
      <c r="CY20" s="41"/>
      <c r="CZ20" s="32"/>
      <c r="DA20" s="32"/>
      <c r="DB20" s="41"/>
      <c r="DC20" s="32"/>
      <c r="DD20" s="32"/>
      <c r="DE20" s="41"/>
      <c r="DF20" s="32"/>
      <c r="DG20" s="32"/>
      <c r="DH20" s="41"/>
      <c r="DI20" s="32"/>
      <c r="DJ20" s="32"/>
      <c r="DK20" s="41"/>
      <c r="DL20" s="32"/>
      <c r="DM20" s="32"/>
      <c r="DN20" s="41"/>
      <c r="DO20" s="32"/>
      <c r="DP20" s="32"/>
      <c r="DQ20" s="41"/>
      <c r="DR20" s="32"/>
      <c r="DS20" s="32"/>
      <c r="DT20" s="41"/>
      <c r="DU20" s="32"/>
      <c r="DV20" s="32"/>
      <c r="DW20" s="41"/>
      <c r="DX20" s="32"/>
      <c r="DY20" s="32"/>
      <c r="DZ20" s="41"/>
      <c r="EA20" s="32"/>
      <c r="EB20" s="32"/>
    </row>
    <row r="21" spans="1:137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6"/>
        <v>0</v>
      </c>
      <c r="G21" s="18" t="e">
        <f t="shared" si="4"/>
        <v>#VALUE!</v>
      </c>
      <c r="I21" s="29">
        <f t="shared" ca="1" si="5"/>
        <v>45794</v>
      </c>
      <c r="J21" s="32"/>
      <c r="K21" s="34"/>
      <c r="M21" s="16"/>
      <c r="N21" s="32"/>
      <c r="O21" s="32"/>
      <c r="P21" s="41"/>
      <c r="Q21" s="32"/>
      <c r="R21" s="32"/>
      <c r="S21" s="41"/>
      <c r="T21" s="32"/>
      <c r="U21" s="32"/>
      <c r="V21" s="41"/>
      <c r="W21" s="32"/>
      <c r="X21" s="32"/>
      <c r="Y21" s="41"/>
      <c r="Z21" s="32"/>
      <c r="AA21" s="32"/>
      <c r="AB21" s="41"/>
      <c r="AC21" s="32"/>
      <c r="AD21" s="32"/>
      <c r="AE21" s="41"/>
      <c r="AF21" s="32"/>
      <c r="AG21" s="32"/>
      <c r="AH21" s="41"/>
      <c r="AI21" s="32"/>
      <c r="AJ21" s="32"/>
      <c r="AK21" s="41"/>
      <c r="AL21" s="32"/>
      <c r="AM21" s="32"/>
      <c r="AN21" s="41"/>
      <c r="AO21" s="32"/>
      <c r="AP21" s="32"/>
      <c r="AQ21" s="41"/>
      <c r="AR21" s="32"/>
      <c r="AS21" s="32"/>
      <c r="AT21" s="41"/>
      <c r="AU21" s="32"/>
      <c r="AV21" s="32"/>
      <c r="AW21" s="41"/>
      <c r="AX21" s="32"/>
      <c r="AY21" s="32"/>
      <c r="AZ21" s="41"/>
      <c r="BA21" s="32"/>
      <c r="BB21" s="32"/>
      <c r="BC21" s="41"/>
      <c r="BD21" s="32"/>
      <c r="BE21" s="32"/>
      <c r="BF21" s="41"/>
      <c r="BG21" s="32"/>
      <c r="BH21" s="32"/>
      <c r="BI21" s="41"/>
      <c r="BJ21" s="32"/>
      <c r="BK21" s="32"/>
      <c r="BL21" s="41"/>
      <c r="BM21" s="32"/>
      <c r="BN21" s="32"/>
      <c r="BO21" s="41"/>
      <c r="BP21" s="32"/>
      <c r="BQ21" s="32"/>
      <c r="BR21" s="41"/>
      <c r="BS21" s="32"/>
      <c r="BT21" s="32"/>
      <c r="BU21" s="41"/>
      <c r="BV21" s="32"/>
      <c r="BW21" s="32"/>
      <c r="BX21" s="41"/>
      <c r="BY21" s="32"/>
      <c r="BZ21" s="32"/>
      <c r="CA21" s="41"/>
      <c r="CB21" s="32"/>
      <c r="CC21" s="32"/>
      <c r="CD21" s="41"/>
      <c r="CE21" s="32"/>
      <c r="CF21" s="32"/>
      <c r="CG21" s="41"/>
      <c r="CH21" s="32"/>
      <c r="CI21" s="32"/>
      <c r="CJ21" s="41"/>
      <c r="CK21" s="32"/>
      <c r="CL21" s="32"/>
      <c r="CM21" s="41"/>
      <c r="CN21" s="32"/>
      <c r="CO21" s="32"/>
      <c r="CP21" s="41"/>
      <c r="CQ21" s="32"/>
      <c r="CR21" s="32"/>
      <c r="CS21" s="41"/>
      <c r="CT21" s="32"/>
      <c r="CU21" s="32"/>
      <c r="CV21" s="41"/>
      <c r="CW21" s="32"/>
      <c r="CX21" s="32"/>
      <c r="CY21" s="41"/>
      <c r="CZ21" s="32"/>
      <c r="DA21" s="32"/>
      <c r="DB21" s="41"/>
      <c r="DC21" s="32"/>
      <c r="DD21" s="32"/>
      <c r="DE21" s="41"/>
      <c r="DF21" s="32"/>
      <c r="DG21" s="32"/>
      <c r="DH21" s="41"/>
      <c r="DI21" s="32"/>
      <c r="DJ21" s="32"/>
      <c r="DK21" s="41"/>
      <c r="DL21" s="32"/>
      <c r="DM21" s="32"/>
      <c r="DN21" s="41"/>
      <c r="DO21" s="32"/>
      <c r="DP21" s="32"/>
      <c r="DQ21" s="41"/>
      <c r="DR21" s="32"/>
      <c r="DS21" s="32"/>
      <c r="DT21" s="41"/>
      <c r="DU21" s="32"/>
      <c r="DV21" s="32"/>
      <c r="DW21" s="41"/>
      <c r="DX21" s="32"/>
      <c r="DY21" s="32"/>
      <c r="DZ21" s="41"/>
      <c r="EA21" s="32"/>
      <c r="EB21" s="32"/>
    </row>
    <row r="22" spans="1:137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6"/>
        <v>0</v>
      </c>
      <c r="G22" s="18" t="e">
        <f t="shared" si="4"/>
        <v>#VALUE!</v>
      </c>
      <c r="I22" s="29">
        <f t="shared" ca="1" si="5"/>
        <v>45795</v>
      </c>
      <c r="J22" s="32"/>
      <c r="K22" s="34"/>
      <c r="M22" s="16"/>
      <c r="N22" s="32"/>
      <c r="O22" s="32"/>
      <c r="P22" s="41"/>
      <c r="Q22" s="32"/>
      <c r="R22" s="32"/>
      <c r="S22" s="41"/>
      <c r="T22" s="32"/>
      <c r="U22" s="32"/>
      <c r="V22" s="41"/>
      <c r="W22" s="32"/>
      <c r="X22" s="32"/>
      <c r="Y22" s="41"/>
      <c r="Z22" s="32"/>
      <c r="AA22" s="32"/>
      <c r="AB22" s="41"/>
      <c r="AC22" s="32"/>
      <c r="AD22" s="32"/>
      <c r="AE22" s="41"/>
      <c r="AF22" s="32"/>
      <c r="AG22" s="32"/>
      <c r="AH22" s="41"/>
      <c r="AI22" s="32"/>
      <c r="AJ22" s="32"/>
      <c r="AK22" s="41"/>
      <c r="AL22" s="32"/>
      <c r="AM22" s="32"/>
      <c r="AN22" s="41"/>
      <c r="AO22" s="32"/>
      <c r="AP22" s="32"/>
      <c r="AQ22" s="41"/>
      <c r="AR22" s="32"/>
      <c r="AS22" s="32"/>
      <c r="AT22" s="41"/>
      <c r="AU22" s="32"/>
      <c r="AV22" s="32"/>
      <c r="AW22" s="41"/>
      <c r="AX22" s="32"/>
      <c r="AY22" s="32"/>
      <c r="AZ22" s="41"/>
      <c r="BA22" s="32"/>
      <c r="BB22" s="32"/>
      <c r="BC22" s="41"/>
      <c r="BD22" s="32"/>
      <c r="BE22" s="32"/>
      <c r="BF22" s="41"/>
      <c r="BG22" s="32"/>
      <c r="BH22" s="32"/>
      <c r="BI22" s="41"/>
      <c r="BJ22" s="32"/>
      <c r="BK22" s="32"/>
      <c r="BL22" s="41"/>
      <c r="BM22" s="32"/>
      <c r="BN22" s="32"/>
      <c r="BO22" s="41"/>
      <c r="BP22" s="32"/>
      <c r="BQ22" s="32"/>
      <c r="BR22" s="41"/>
      <c r="BS22" s="32"/>
      <c r="BT22" s="32"/>
      <c r="BU22" s="41"/>
      <c r="BV22" s="32"/>
      <c r="BW22" s="32"/>
      <c r="BX22" s="41"/>
      <c r="BY22" s="32"/>
      <c r="BZ22" s="32"/>
      <c r="CA22" s="41"/>
      <c r="CB22" s="32"/>
      <c r="CC22" s="32"/>
      <c r="CD22" s="41"/>
      <c r="CE22" s="32"/>
      <c r="CF22" s="32"/>
      <c r="CG22" s="41"/>
      <c r="CH22" s="32"/>
      <c r="CI22" s="32"/>
      <c r="CJ22" s="41"/>
      <c r="CK22" s="32"/>
      <c r="CL22" s="32"/>
      <c r="CM22" s="41"/>
      <c r="CN22" s="32"/>
      <c r="CO22" s="32"/>
      <c r="CP22" s="41"/>
      <c r="CQ22" s="32"/>
      <c r="CR22" s="32"/>
      <c r="CS22" s="41"/>
      <c r="CT22" s="32"/>
      <c r="CU22" s="32"/>
      <c r="CV22" s="41"/>
      <c r="CW22" s="32"/>
      <c r="CX22" s="32"/>
      <c r="CY22" s="41"/>
      <c r="CZ22" s="32"/>
      <c r="DA22" s="32"/>
      <c r="DB22" s="41"/>
      <c r="DC22" s="32"/>
      <c r="DD22" s="32"/>
      <c r="DE22" s="41"/>
      <c r="DF22" s="32"/>
      <c r="DG22" s="32"/>
      <c r="DH22" s="41"/>
      <c r="DI22" s="32"/>
      <c r="DJ22" s="32"/>
      <c r="DK22" s="41"/>
      <c r="DL22" s="32"/>
      <c r="DM22" s="32"/>
      <c r="DN22" s="41"/>
      <c r="DO22" s="32"/>
      <c r="DP22" s="32"/>
      <c r="DQ22" s="41"/>
      <c r="DR22" s="32"/>
      <c r="DS22" s="32"/>
      <c r="DT22" s="41"/>
      <c r="DU22" s="32"/>
      <c r="DV22" s="32"/>
      <c r="DW22" s="41"/>
      <c r="DX22" s="32"/>
      <c r="DY22" s="32"/>
      <c r="DZ22" s="41"/>
      <c r="EA22" s="32"/>
      <c r="EB22" s="32"/>
    </row>
    <row r="23" spans="1:137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6"/>
        <v>0</v>
      </c>
      <c r="G23" s="18" t="e">
        <f t="shared" si="4"/>
        <v>#VALUE!</v>
      </c>
      <c r="I23" s="29">
        <f t="shared" ca="1" si="5"/>
        <v>45796</v>
      </c>
      <c r="J23" s="32"/>
      <c r="K23" s="34"/>
      <c r="M23" s="16"/>
      <c r="N23" s="32"/>
      <c r="O23" s="32"/>
      <c r="P23" s="41"/>
      <c r="Q23" s="32"/>
      <c r="R23" s="32"/>
      <c r="S23" s="41"/>
      <c r="T23" s="32"/>
      <c r="U23" s="32"/>
      <c r="V23" s="41"/>
      <c r="W23" s="32"/>
      <c r="X23" s="32"/>
      <c r="Y23" s="41"/>
      <c r="Z23" s="32"/>
      <c r="AA23" s="32"/>
      <c r="AB23" s="41"/>
      <c r="AC23" s="32"/>
      <c r="AD23" s="32"/>
      <c r="AE23" s="41"/>
      <c r="AF23" s="32"/>
      <c r="AG23" s="32"/>
      <c r="AH23" s="41"/>
      <c r="AI23" s="32"/>
      <c r="AJ23" s="32"/>
      <c r="AK23" s="41"/>
      <c r="AL23" s="32"/>
      <c r="AM23" s="32"/>
      <c r="AN23" s="41"/>
      <c r="AO23" s="32"/>
      <c r="AP23" s="32"/>
      <c r="AQ23" s="41"/>
      <c r="AR23" s="32"/>
      <c r="AS23" s="32"/>
      <c r="AT23" s="41"/>
      <c r="AU23" s="32"/>
      <c r="AV23" s="32"/>
      <c r="AW23" s="41"/>
      <c r="AX23" s="32"/>
      <c r="AY23" s="32"/>
      <c r="AZ23" s="41"/>
      <c r="BA23" s="32"/>
      <c r="BB23" s="32"/>
      <c r="BC23" s="41"/>
      <c r="BD23" s="32"/>
      <c r="BE23" s="32"/>
      <c r="BF23" s="41"/>
      <c r="BG23" s="32"/>
      <c r="BH23" s="32"/>
      <c r="BI23" s="41"/>
      <c r="BJ23" s="32"/>
      <c r="BK23" s="32"/>
      <c r="BL23" s="41"/>
      <c r="BM23" s="32"/>
      <c r="BN23" s="32"/>
      <c r="BO23" s="41"/>
      <c r="BP23" s="32"/>
      <c r="BQ23" s="32"/>
      <c r="BR23" s="41"/>
      <c r="BS23" s="32"/>
      <c r="BT23" s="32"/>
      <c r="BU23" s="41"/>
      <c r="BV23" s="32"/>
      <c r="BW23" s="32"/>
      <c r="BX23" s="41"/>
      <c r="BY23" s="32"/>
      <c r="BZ23" s="32"/>
      <c r="CA23" s="41"/>
      <c r="CB23" s="32"/>
      <c r="CC23" s="32"/>
      <c r="CD23" s="41"/>
      <c r="CE23" s="32"/>
      <c r="CF23" s="32"/>
      <c r="CG23" s="41"/>
      <c r="CH23" s="32"/>
      <c r="CI23" s="32"/>
      <c r="CJ23" s="41"/>
      <c r="CK23" s="32"/>
      <c r="CL23" s="32"/>
      <c r="CM23" s="41"/>
      <c r="CN23" s="32"/>
      <c r="CO23" s="32"/>
      <c r="CP23" s="41"/>
      <c r="CQ23" s="32"/>
      <c r="CR23" s="32"/>
      <c r="CS23" s="41"/>
      <c r="CT23" s="32"/>
      <c r="CU23" s="32"/>
      <c r="CV23" s="41"/>
      <c r="CW23" s="32"/>
      <c r="CX23" s="32"/>
      <c r="CY23" s="41"/>
      <c r="CZ23" s="32"/>
      <c r="DA23" s="32"/>
      <c r="DB23" s="41"/>
      <c r="DC23" s="32"/>
      <c r="DD23" s="32"/>
      <c r="DE23" s="41"/>
      <c r="DF23" s="32"/>
      <c r="DG23" s="32"/>
      <c r="DH23" s="41"/>
      <c r="DI23" s="32"/>
      <c r="DJ23" s="32"/>
      <c r="DK23" s="41"/>
      <c r="DL23" s="32"/>
      <c r="DM23" s="32"/>
      <c r="DN23" s="41"/>
      <c r="DO23" s="32"/>
      <c r="DP23" s="32"/>
      <c r="DQ23" s="41"/>
      <c r="DR23" s="32"/>
      <c r="DS23" s="32"/>
      <c r="DT23" s="41"/>
      <c r="DU23" s="32"/>
      <c r="DV23" s="32"/>
      <c r="DW23" s="41"/>
      <c r="DX23" s="32"/>
      <c r="DY23" s="32"/>
      <c r="DZ23" s="41"/>
      <c r="EA23" s="32"/>
      <c r="EB23" s="32"/>
    </row>
    <row r="24" spans="1:137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6"/>
        <v>0</v>
      </c>
      <c r="G24" s="18" t="e">
        <f t="shared" si="4"/>
        <v>#VALUE!</v>
      </c>
      <c r="I24" s="29">
        <f t="shared" ca="1" si="5"/>
        <v>45797</v>
      </c>
      <c r="J24" s="32"/>
      <c r="K24" s="34"/>
      <c r="M24" s="16"/>
      <c r="N24" s="32"/>
      <c r="O24" s="32"/>
      <c r="P24" s="41"/>
      <c r="Q24" s="32"/>
      <c r="R24" s="32"/>
      <c r="S24" s="41"/>
      <c r="T24" s="32"/>
      <c r="U24" s="32"/>
      <c r="V24" s="41"/>
      <c r="W24" s="32"/>
      <c r="X24" s="32"/>
      <c r="Y24" s="41"/>
      <c r="Z24" s="32"/>
      <c r="AA24" s="32"/>
      <c r="AB24" s="41"/>
      <c r="AC24" s="32"/>
      <c r="AD24" s="32"/>
      <c r="AE24" s="41"/>
      <c r="AF24" s="32"/>
      <c r="AG24" s="32"/>
      <c r="AH24" s="41"/>
      <c r="AI24" s="32"/>
      <c r="AJ24" s="32"/>
      <c r="AK24" s="41"/>
      <c r="AL24" s="32"/>
      <c r="AM24" s="32"/>
      <c r="AN24" s="41"/>
      <c r="AO24" s="32"/>
      <c r="AP24" s="32"/>
      <c r="AQ24" s="41"/>
      <c r="AR24" s="32"/>
      <c r="AS24" s="32"/>
      <c r="AT24" s="41"/>
      <c r="AU24" s="32"/>
      <c r="AV24" s="32"/>
      <c r="AW24" s="41"/>
      <c r="AX24" s="32"/>
      <c r="AY24" s="32"/>
      <c r="AZ24" s="41"/>
      <c r="BA24" s="32"/>
      <c r="BB24" s="32"/>
      <c r="BC24" s="41"/>
      <c r="BD24" s="32"/>
      <c r="BE24" s="32"/>
      <c r="BF24" s="41"/>
      <c r="BG24" s="32"/>
      <c r="BH24" s="32"/>
      <c r="BI24" s="41"/>
      <c r="BJ24" s="32"/>
      <c r="BK24" s="32"/>
      <c r="BL24" s="41"/>
      <c r="BM24" s="32"/>
      <c r="BN24" s="32"/>
      <c r="BO24" s="41"/>
      <c r="BP24" s="32"/>
      <c r="BQ24" s="32"/>
      <c r="BR24" s="41"/>
      <c r="BS24" s="32"/>
      <c r="BT24" s="32"/>
      <c r="BU24" s="41"/>
      <c r="BV24" s="32"/>
      <c r="BW24" s="32"/>
      <c r="BX24" s="41"/>
      <c r="BY24" s="32"/>
      <c r="BZ24" s="32"/>
      <c r="CA24" s="41"/>
      <c r="CB24" s="32"/>
      <c r="CC24" s="32"/>
      <c r="CD24" s="41"/>
      <c r="CE24" s="32"/>
      <c r="CF24" s="32"/>
      <c r="CG24" s="41"/>
      <c r="CH24" s="32"/>
      <c r="CI24" s="32"/>
      <c r="CJ24" s="41"/>
      <c r="CK24" s="32"/>
      <c r="CL24" s="32"/>
      <c r="CM24" s="41"/>
      <c r="CN24" s="32"/>
      <c r="CO24" s="32"/>
      <c r="CP24" s="41"/>
      <c r="CQ24" s="32"/>
      <c r="CR24" s="32"/>
      <c r="CS24" s="41"/>
      <c r="CT24" s="32"/>
      <c r="CU24" s="32"/>
      <c r="CV24" s="41"/>
      <c r="CW24" s="32"/>
      <c r="CX24" s="32"/>
      <c r="CY24" s="41"/>
      <c r="CZ24" s="32"/>
      <c r="DA24" s="32"/>
      <c r="DB24" s="41"/>
      <c r="DC24" s="32"/>
      <c r="DD24" s="32"/>
      <c r="DE24" s="41"/>
      <c r="DF24" s="32"/>
      <c r="DG24" s="32"/>
      <c r="DH24" s="41"/>
      <c r="DI24" s="32"/>
      <c r="DJ24" s="32"/>
      <c r="DK24" s="41"/>
      <c r="DL24" s="32"/>
      <c r="DM24" s="32"/>
      <c r="DN24" s="41"/>
      <c r="DO24" s="32"/>
      <c r="DP24" s="32"/>
      <c r="DQ24" s="41"/>
      <c r="DR24" s="32"/>
      <c r="DS24" s="32"/>
      <c r="DT24" s="41"/>
      <c r="DU24" s="32"/>
      <c r="DV24" s="32"/>
      <c r="DW24" s="41"/>
      <c r="DX24" s="32"/>
      <c r="DY24" s="32"/>
      <c r="DZ24" s="41"/>
      <c r="EA24" s="32"/>
      <c r="EB24" s="32"/>
    </row>
    <row r="25" spans="1:137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6"/>
        <v>0</v>
      </c>
      <c r="G25" s="18" t="e">
        <f t="shared" si="4"/>
        <v>#VALUE!</v>
      </c>
      <c r="I25" s="29">
        <f t="shared" ca="1" si="5"/>
        <v>45798</v>
      </c>
      <c r="J25" s="32"/>
      <c r="K25" s="34"/>
      <c r="M25" s="16"/>
      <c r="N25" s="32"/>
      <c r="O25" s="32"/>
      <c r="P25" s="41"/>
      <c r="Q25" s="32"/>
      <c r="R25" s="32"/>
      <c r="S25" s="41"/>
      <c r="T25" s="32"/>
      <c r="U25" s="32"/>
      <c r="V25" s="41"/>
      <c r="W25" s="32"/>
      <c r="X25" s="32"/>
      <c r="Y25" s="41"/>
      <c r="Z25" s="32"/>
      <c r="AA25" s="32"/>
      <c r="AB25" s="41"/>
      <c r="AC25" s="32"/>
      <c r="AD25" s="32"/>
      <c r="AE25" s="41"/>
      <c r="AF25" s="32"/>
      <c r="AG25" s="32"/>
      <c r="AH25" s="41"/>
      <c r="AI25" s="32"/>
      <c r="AJ25" s="32"/>
      <c r="AK25" s="41"/>
      <c r="AL25" s="32"/>
      <c r="AM25" s="32"/>
      <c r="AN25" s="41"/>
      <c r="AO25" s="32"/>
      <c r="AP25" s="32"/>
      <c r="AQ25" s="41"/>
      <c r="AR25" s="32"/>
      <c r="AS25" s="32"/>
      <c r="AT25" s="41"/>
      <c r="AU25" s="32"/>
      <c r="AV25" s="32"/>
      <c r="AW25" s="41"/>
      <c r="AX25" s="32"/>
      <c r="AY25" s="32"/>
      <c r="AZ25" s="41"/>
      <c r="BA25" s="32"/>
      <c r="BB25" s="32"/>
      <c r="BC25" s="41"/>
      <c r="BD25" s="32"/>
      <c r="BE25" s="32"/>
      <c r="BF25" s="41"/>
      <c r="BG25" s="32"/>
      <c r="BH25" s="32"/>
      <c r="BI25" s="41"/>
      <c r="BJ25" s="32"/>
      <c r="BK25" s="32"/>
      <c r="BL25" s="41"/>
      <c r="BM25" s="32"/>
      <c r="BN25" s="32"/>
      <c r="BO25" s="41"/>
      <c r="BP25" s="32"/>
      <c r="BQ25" s="32"/>
      <c r="BR25" s="41"/>
      <c r="BS25" s="32"/>
      <c r="BT25" s="32"/>
      <c r="BU25" s="41"/>
      <c r="BV25" s="32"/>
      <c r="BW25" s="32"/>
      <c r="BX25" s="41"/>
      <c r="BY25" s="32"/>
      <c r="BZ25" s="32"/>
      <c r="CA25" s="41"/>
      <c r="CB25" s="32"/>
      <c r="CC25" s="32"/>
      <c r="CD25" s="41"/>
      <c r="CE25" s="32"/>
      <c r="CF25" s="32"/>
      <c r="CG25" s="41"/>
      <c r="CH25" s="32"/>
      <c r="CI25" s="32"/>
      <c r="CJ25" s="41"/>
      <c r="CK25" s="32"/>
      <c r="CL25" s="32"/>
      <c r="CM25" s="41"/>
      <c r="CN25" s="32"/>
      <c r="CO25" s="32"/>
      <c r="CP25" s="41"/>
      <c r="CQ25" s="32"/>
      <c r="CR25" s="32"/>
      <c r="CS25" s="41"/>
      <c r="CT25" s="32"/>
      <c r="CU25" s="32"/>
      <c r="CV25" s="41"/>
      <c r="CW25" s="32"/>
      <c r="CX25" s="32"/>
      <c r="CY25" s="41"/>
      <c r="CZ25" s="32"/>
      <c r="DA25" s="32"/>
      <c r="DB25" s="41"/>
      <c r="DC25" s="32"/>
      <c r="DD25" s="32"/>
      <c r="DE25" s="41"/>
      <c r="DF25" s="32"/>
      <c r="DG25" s="32"/>
      <c r="DH25" s="41"/>
      <c r="DI25" s="32"/>
      <c r="DJ25" s="32"/>
      <c r="DK25" s="41"/>
      <c r="DL25" s="32"/>
      <c r="DM25" s="32"/>
      <c r="DN25" s="41"/>
      <c r="DO25" s="32"/>
      <c r="DP25" s="32"/>
      <c r="DQ25" s="41"/>
      <c r="DR25" s="32"/>
      <c r="DS25" s="32"/>
      <c r="DT25" s="41"/>
      <c r="DU25" s="32"/>
      <c r="DV25" s="32"/>
      <c r="DW25" s="41"/>
      <c r="DX25" s="32"/>
      <c r="DY25" s="32"/>
      <c r="DZ25" s="41"/>
      <c r="EA25" s="32"/>
      <c r="EB25" s="32"/>
      <c r="EG25" s="44"/>
    </row>
    <row r="26" spans="1:137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6"/>
        <v>0</v>
      </c>
      <c r="G26" s="18" t="e">
        <f t="shared" si="4"/>
        <v>#VALUE!</v>
      </c>
      <c r="I26" s="29">
        <f t="shared" ca="1" si="5"/>
        <v>45799</v>
      </c>
      <c r="J26" s="32"/>
      <c r="K26" s="32"/>
      <c r="M26" s="16"/>
      <c r="N26" s="32"/>
      <c r="O26" s="32"/>
      <c r="P26" s="41"/>
      <c r="Q26" s="32"/>
      <c r="R26" s="32"/>
      <c r="S26" s="41"/>
      <c r="T26" s="32"/>
      <c r="U26" s="32"/>
      <c r="V26" s="41"/>
      <c r="W26" s="32"/>
      <c r="X26" s="32"/>
      <c r="Y26" s="41"/>
      <c r="Z26" s="32"/>
      <c r="AA26" s="32"/>
      <c r="AB26" s="41"/>
      <c r="AC26" s="32"/>
      <c r="AD26" s="32"/>
      <c r="AE26" s="41"/>
      <c r="AF26" s="32"/>
      <c r="AG26" s="32"/>
      <c r="AH26" s="41"/>
      <c r="AI26" s="32"/>
      <c r="AJ26" s="32"/>
      <c r="AK26" s="41"/>
      <c r="AL26" s="32"/>
      <c r="AM26" s="32"/>
      <c r="AN26" s="41"/>
      <c r="AO26" s="32"/>
      <c r="AP26" s="32"/>
      <c r="AQ26" s="41"/>
      <c r="AR26" s="32"/>
      <c r="AS26" s="32"/>
      <c r="AT26" s="41"/>
      <c r="AU26" s="32"/>
      <c r="AV26" s="32"/>
      <c r="AW26" s="41"/>
      <c r="AX26" s="32"/>
      <c r="AY26" s="32"/>
      <c r="AZ26" s="41"/>
      <c r="BA26" s="32"/>
      <c r="BB26" s="32"/>
      <c r="BC26" s="41"/>
      <c r="BD26" s="32"/>
      <c r="BE26" s="32"/>
      <c r="BF26" s="41"/>
      <c r="BG26" s="32"/>
      <c r="BH26" s="32"/>
      <c r="BI26" s="41"/>
      <c r="BJ26" s="32"/>
      <c r="BK26" s="32"/>
      <c r="BL26" s="41"/>
      <c r="BM26" s="32"/>
      <c r="BN26" s="32"/>
      <c r="BO26" s="41"/>
      <c r="BP26" s="32"/>
      <c r="BQ26" s="32"/>
      <c r="BR26" s="41"/>
      <c r="BS26" s="32"/>
      <c r="BT26" s="32"/>
      <c r="BU26" s="41"/>
      <c r="BV26" s="32"/>
      <c r="BW26" s="32"/>
      <c r="BX26" s="41"/>
      <c r="BY26" s="32"/>
      <c r="BZ26" s="32"/>
      <c r="CA26" s="41"/>
      <c r="CB26" s="32"/>
      <c r="CC26" s="32"/>
      <c r="CD26" s="41"/>
      <c r="CE26" s="32"/>
      <c r="CF26" s="32"/>
      <c r="CG26" s="41"/>
      <c r="CH26" s="32"/>
      <c r="CI26" s="32"/>
      <c r="CJ26" s="41"/>
      <c r="CK26" s="32"/>
      <c r="CL26" s="32"/>
      <c r="CM26" s="41"/>
      <c r="CN26" s="32"/>
      <c r="CO26" s="32"/>
      <c r="CP26" s="41"/>
      <c r="CQ26" s="32"/>
      <c r="CR26" s="32"/>
      <c r="CS26" s="41"/>
      <c r="CT26" s="32"/>
      <c r="CU26" s="32"/>
      <c r="CV26" s="41"/>
      <c r="CW26" s="32"/>
      <c r="CX26" s="32"/>
      <c r="CY26" s="41"/>
      <c r="CZ26" s="32"/>
      <c r="DA26" s="32"/>
      <c r="DB26" s="41"/>
      <c r="DC26" s="32"/>
      <c r="DD26" s="32"/>
      <c r="DE26" s="41"/>
      <c r="DF26" s="32"/>
      <c r="DG26" s="32"/>
      <c r="DH26" s="41"/>
      <c r="DI26" s="32"/>
      <c r="DJ26" s="32"/>
      <c r="DK26" s="41"/>
      <c r="DL26" s="32"/>
      <c r="DM26" s="32"/>
      <c r="DN26" s="41"/>
      <c r="DO26" s="32"/>
      <c r="DP26" s="32"/>
      <c r="DQ26" s="41"/>
      <c r="DR26" s="32"/>
      <c r="DS26" s="32"/>
      <c r="DT26" s="41"/>
      <c r="DU26" s="32"/>
      <c r="DV26" s="32"/>
      <c r="DW26" s="41"/>
      <c r="DX26" s="32"/>
      <c r="DY26" s="32"/>
      <c r="DZ26" s="41"/>
      <c r="EA26" s="32"/>
      <c r="EB26" s="32"/>
    </row>
    <row r="27" spans="1:137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>D27-C27</f>
        <v>0</v>
      </c>
      <c r="G27" s="18" t="e">
        <f t="shared" si="4"/>
        <v>#VALUE!</v>
      </c>
      <c r="I27" s="29">
        <f t="shared" ca="1" si="5"/>
        <v>45800</v>
      </c>
      <c r="J27" s="32"/>
      <c r="K27" s="32"/>
      <c r="M27" s="16"/>
      <c r="N27" s="32"/>
      <c r="O27" s="32"/>
      <c r="P27" s="41"/>
      <c r="Q27" s="32"/>
      <c r="R27" s="32"/>
      <c r="S27" s="41"/>
      <c r="T27" s="32"/>
      <c r="U27" s="32"/>
      <c r="V27" s="41"/>
      <c r="W27" s="32"/>
      <c r="X27" s="32"/>
      <c r="Y27" s="41"/>
      <c r="Z27" s="32"/>
      <c r="AA27" s="32"/>
      <c r="AB27" s="41"/>
      <c r="AC27" s="32"/>
      <c r="AD27" s="32"/>
      <c r="AE27" s="41"/>
      <c r="AF27" s="32"/>
      <c r="AG27" s="32"/>
      <c r="AH27" s="41"/>
      <c r="AI27" s="32"/>
      <c r="AJ27" s="32"/>
      <c r="AK27" s="41"/>
      <c r="AL27" s="32"/>
      <c r="AM27" s="32"/>
      <c r="AN27" s="41"/>
      <c r="AO27" s="32"/>
      <c r="AP27" s="32"/>
      <c r="AQ27" s="41"/>
      <c r="AR27" s="32"/>
      <c r="AS27" s="32"/>
      <c r="AT27" s="41"/>
      <c r="AU27" s="32"/>
      <c r="AV27" s="32"/>
      <c r="AW27" s="41"/>
      <c r="AX27" s="32"/>
      <c r="AY27" s="32"/>
      <c r="AZ27" s="41"/>
      <c r="BA27" s="32"/>
      <c r="BB27" s="32"/>
      <c r="BC27" s="41"/>
      <c r="BD27" s="32"/>
      <c r="BE27" s="32"/>
      <c r="BF27" s="41"/>
      <c r="BG27" s="32"/>
      <c r="BH27" s="32"/>
      <c r="BI27" s="41"/>
      <c r="BJ27" s="32"/>
      <c r="BK27" s="32"/>
      <c r="BL27" s="41"/>
      <c r="BM27" s="32"/>
      <c r="BN27" s="32"/>
      <c r="BO27" s="41"/>
      <c r="BP27" s="32"/>
      <c r="BQ27" s="32"/>
      <c r="BR27" s="41"/>
      <c r="BS27" s="32"/>
      <c r="BT27" s="32"/>
      <c r="BU27" s="41"/>
      <c r="BV27" s="32"/>
      <c r="BW27" s="32"/>
      <c r="BX27" s="41"/>
      <c r="BY27" s="32"/>
      <c r="BZ27" s="32"/>
      <c r="CA27" s="41"/>
      <c r="CB27" s="32"/>
      <c r="CC27" s="32"/>
      <c r="CD27" s="41"/>
      <c r="CE27" s="32"/>
      <c r="CF27" s="32"/>
      <c r="CG27" s="41"/>
      <c r="CH27" s="32"/>
      <c r="CI27" s="32"/>
      <c r="CJ27" s="41"/>
      <c r="CK27" s="32"/>
      <c r="CL27" s="32"/>
      <c r="CM27" s="41"/>
      <c r="CN27" s="32"/>
      <c r="CO27" s="32"/>
      <c r="CP27" s="41"/>
      <c r="CQ27" s="32"/>
      <c r="CR27" s="32"/>
      <c r="CS27" s="41"/>
      <c r="CT27" s="32"/>
      <c r="CU27" s="32"/>
      <c r="CV27" s="41"/>
      <c r="CW27" s="32"/>
      <c r="CX27" s="32"/>
      <c r="CY27" s="41"/>
      <c r="CZ27" s="32"/>
      <c r="DA27" s="32"/>
      <c r="DB27" s="41"/>
      <c r="DC27" s="32"/>
      <c r="DD27" s="32"/>
      <c r="DE27" s="41"/>
      <c r="DF27" s="32"/>
      <c r="DG27" s="32"/>
      <c r="DH27" s="41"/>
      <c r="DI27" s="32"/>
      <c r="DJ27" s="32"/>
      <c r="DK27" s="41"/>
      <c r="DL27" s="32"/>
      <c r="DM27" s="32"/>
      <c r="DN27" s="41"/>
      <c r="DO27" s="32"/>
      <c r="DP27" s="32"/>
      <c r="DQ27" s="41"/>
      <c r="DR27" s="32"/>
      <c r="DS27" s="32"/>
      <c r="DT27" s="41"/>
      <c r="DU27" s="32"/>
      <c r="DV27" s="32"/>
      <c r="DW27" s="41"/>
      <c r="DX27" s="32"/>
      <c r="DY27" s="32"/>
      <c r="DZ27" s="41"/>
      <c r="EA27" s="32"/>
      <c r="EB27" s="32"/>
    </row>
    <row r="28" spans="1:137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6"/>
        <v>0</v>
      </c>
      <c r="G28" s="18" t="e">
        <f t="shared" si="4"/>
        <v>#VALUE!</v>
      </c>
      <c r="I28" s="29">
        <f t="shared" ca="1" si="5"/>
        <v>45801</v>
      </c>
      <c r="J28" s="32"/>
      <c r="K28" s="32"/>
      <c r="M28" s="16"/>
      <c r="N28" s="32"/>
      <c r="O28" s="32"/>
      <c r="P28" s="41"/>
      <c r="Q28" s="32"/>
      <c r="R28" s="32"/>
      <c r="S28" s="41"/>
      <c r="T28" s="32"/>
      <c r="U28" s="32"/>
      <c r="V28" s="41"/>
      <c r="W28" s="32"/>
      <c r="X28" s="32"/>
      <c r="Y28" s="41"/>
      <c r="Z28" s="32"/>
      <c r="AA28" s="32"/>
      <c r="AB28" s="41"/>
      <c r="AC28" s="32"/>
      <c r="AD28" s="32"/>
      <c r="AE28" s="41"/>
      <c r="AF28" s="32"/>
      <c r="AG28" s="32"/>
      <c r="AH28" s="41"/>
      <c r="AI28" s="32"/>
      <c r="AJ28" s="32"/>
      <c r="AK28" s="41"/>
      <c r="AL28" s="32"/>
      <c r="AM28" s="32"/>
      <c r="AN28" s="41"/>
      <c r="AO28" s="32"/>
      <c r="AP28" s="32"/>
      <c r="AQ28" s="41"/>
      <c r="AR28" s="32"/>
      <c r="AS28" s="32"/>
      <c r="AT28" s="41"/>
      <c r="AU28" s="32"/>
      <c r="AV28" s="32"/>
      <c r="AW28" s="41"/>
      <c r="AX28" s="32"/>
      <c r="AY28" s="32"/>
      <c r="AZ28" s="41"/>
      <c r="BA28" s="32"/>
      <c r="BB28" s="32"/>
      <c r="BC28" s="41"/>
      <c r="BD28" s="32"/>
      <c r="BE28" s="32"/>
      <c r="BF28" s="41"/>
      <c r="BG28" s="32"/>
      <c r="BH28" s="32"/>
      <c r="BI28" s="41"/>
      <c r="BJ28" s="32"/>
      <c r="BK28" s="32"/>
      <c r="BL28" s="41"/>
      <c r="BM28" s="32"/>
      <c r="BN28" s="32"/>
      <c r="BO28" s="41"/>
      <c r="BP28" s="32"/>
      <c r="BQ28" s="32"/>
      <c r="BR28" s="41"/>
      <c r="BS28" s="32"/>
      <c r="BT28" s="32"/>
      <c r="BU28" s="41"/>
      <c r="BV28" s="32"/>
      <c r="BW28" s="32"/>
      <c r="BX28" s="41"/>
      <c r="BY28" s="32"/>
      <c r="BZ28" s="32"/>
      <c r="CA28" s="41"/>
      <c r="CB28" s="32"/>
      <c r="CC28" s="32"/>
      <c r="CD28" s="41"/>
      <c r="CE28" s="32"/>
      <c r="CF28" s="32"/>
      <c r="CG28" s="41"/>
      <c r="CH28" s="32"/>
      <c r="CI28" s="32"/>
      <c r="CJ28" s="41"/>
      <c r="CK28" s="32"/>
      <c r="CL28" s="32"/>
      <c r="CM28" s="41"/>
      <c r="CN28" s="32"/>
      <c r="CO28" s="32"/>
      <c r="CP28" s="41"/>
      <c r="CQ28" s="32"/>
      <c r="CR28" s="32"/>
      <c r="CS28" s="41"/>
      <c r="CT28" s="32"/>
      <c r="CU28" s="32"/>
      <c r="CV28" s="41"/>
      <c r="CW28" s="32"/>
      <c r="CX28" s="32"/>
      <c r="CY28" s="41"/>
      <c r="CZ28" s="32"/>
      <c r="DA28" s="32"/>
      <c r="DB28" s="41"/>
      <c r="DC28" s="32"/>
      <c r="DD28" s="32"/>
      <c r="DE28" s="41"/>
      <c r="DF28" s="32"/>
      <c r="DG28" s="32"/>
      <c r="DH28" s="41"/>
      <c r="DI28" s="32"/>
      <c r="DJ28" s="32"/>
      <c r="DK28" s="41"/>
      <c r="DL28" s="32"/>
      <c r="DM28" s="32"/>
      <c r="DN28" s="41"/>
      <c r="DO28" s="32"/>
      <c r="DP28" s="32"/>
      <c r="DQ28" s="41"/>
      <c r="DR28" s="32"/>
      <c r="DS28" s="32"/>
      <c r="DT28" s="41"/>
      <c r="DU28" s="32"/>
      <c r="DV28" s="32"/>
      <c r="DW28" s="41"/>
      <c r="DX28" s="32"/>
      <c r="DY28" s="32"/>
      <c r="DZ28" s="41"/>
      <c r="EA28" s="32"/>
      <c r="EB28" s="32"/>
      <c r="EG28" s="45"/>
    </row>
    <row r="29" spans="1:137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6"/>
        <v>0</v>
      </c>
      <c r="G29" s="18" t="e">
        <f t="shared" si="4"/>
        <v>#VALUE!</v>
      </c>
      <c r="I29" s="29">
        <f t="shared" ca="1" si="5"/>
        <v>45802</v>
      </c>
      <c r="J29" s="32"/>
      <c r="K29" s="32"/>
      <c r="M29" s="16"/>
      <c r="N29" s="32"/>
      <c r="O29" s="32"/>
      <c r="P29" s="41"/>
      <c r="Q29" s="32"/>
      <c r="R29" s="32"/>
      <c r="S29" s="41"/>
      <c r="T29" s="32"/>
      <c r="U29" s="32"/>
      <c r="V29" s="41"/>
      <c r="W29" s="32"/>
      <c r="X29" s="32"/>
      <c r="Y29" s="41"/>
      <c r="Z29" s="32"/>
      <c r="AA29" s="32"/>
      <c r="AB29" s="41"/>
      <c r="AC29" s="32"/>
      <c r="AD29" s="32"/>
      <c r="AE29" s="41"/>
      <c r="AF29" s="32"/>
      <c r="AG29" s="32"/>
      <c r="AH29" s="41"/>
      <c r="AI29" s="32"/>
      <c r="AJ29" s="32"/>
      <c r="AK29" s="41"/>
      <c r="AL29" s="32"/>
      <c r="AM29" s="32"/>
      <c r="AN29" s="41"/>
      <c r="AO29" s="32"/>
      <c r="AP29" s="32"/>
      <c r="AQ29" s="41"/>
      <c r="AR29" s="32"/>
      <c r="AS29" s="32"/>
      <c r="AT29" s="41"/>
      <c r="AU29" s="32"/>
      <c r="AV29" s="32"/>
      <c r="AW29" s="41"/>
      <c r="AX29" s="32"/>
      <c r="AY29" s="32"/>
      <c r="AZ29" s="41"/>
      <c r="BA29" s="32"/>
      <c r="BB29" s="32"/>
      <c r="BC29" s="41"/>
      <c r="BD29" s="32"/>
      <c r="BE29" s="32"/>
      <c r="BF29" s="41"/>
      <c r="BG29" s="32"/>
      <c r="BH29" s="32"/>
      <c r="BI29" s="41"/>
      <c r="BJ29" s="32"/>
      <c r="BK29" s="32"/>
      <c r="BL29" s="41"/>
      <c r="BM29" s="32"/>
      <c r="BN29" s="32"/>
      <c r="BO29" s="41"/>
      <c r="BP29" s="32"/>
      <c r="BQ29" s="32"/>
      <c r="BR29" s="41"/>
      <c r="BS29" s="32"/>
      <c r="BT29" s="32"/>
      <c r="BU29" s="41"/>
      <c r="BV29" s="32"/>
      <c r="BW29" s="32"/>
      <c r="BX29" s="41"/>
      <c r="BY29" s="32"/>
      <c r="BZ29" s="32"/>
      <c r="CA29" s="41"/>
      <c r="CB29" s="32"/>
      <c r="CC29" s="32"/>
      <c r="CD29" s="41"/>
      <c r="CE29" s="32"/>
      <c r="CF29" s="32"/>
      <c r="CG29" s="41"/>
      <c r="CH29" s="32"/>
      <c r="CI29" s="32"/>
      <c r="CJ29" s="41"/>
      <c r="CK29" s="32"/>
      <c r="CL29" s="32"/>
      <c r="CM29" s="41"/>
      <c r="CN29" s="32"/>
      <c r="CO29" s="32"/>
      <c r="CP29" s="41"/>
      <c r="CQ29" s="32"/>
      <c r="CR29" s="32"/>
      <c r="CS29" s="41"/>
      <c r="CT29" s="32"/>
      <c r="CU29" s="32"/>
      <c r="CV29" s="41"/>
      <c r="CW29" s="32"/>
      <c r="CX29" s="32"/>
      <c r="CY29" s="41"/>
      <c r="CZ29" s="32"/>
      <c r="DA29" s="32"/>
      <c r="DB29" s="41"/>
      <c r="DC29" s="32"/>
      <c r="DD29" s="32"/>
      <c r="DE29" s="41"/>
      <c r="DF29" s="32"/>
      <c r="DG29" s="32"/>
      <c r="DH29" s="41"/>
      <c r="DI29" s="32"/>
      <c r="DJ29" s="32"/>
      <c r="DK29" s="41"/>
      <c r="DL29" s="32"/>
      <c r="DM29" s="32"/>
      <c r="DN29" s="41"/>
      <c r="DO29" s="32"/>
      <c r="DP29" s="32"/>
      <c r="DQ29" s="41"/>
      <c r="DR29" s="32"/>
      <c r="DS29" s="32"/>
      <c r="DT29" s="41"/>
      <c r="DU29" s="32"/>
      <c r="DV29" s="32"/>
      <c r="DW29" s="41"/>
      <c r="DX29" s="32"/>
      <c r="DY29" s="32"/>
      <c r="DZ29" s="41"/>
      <c r="EA29" s="32"/>
      <c r="EB29" s="32"/>
    </row>
    <row r="30" spans="1:137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6"/>
        <v>0</v>
      </c>
      <c r="G30" s="18" t="e">
        <f t="shared" si="4"/>
        <v>#VALUE!</v>
      </c>
      <c r="I30" s="29">
        <f t="shared" ca="1" si="5"/>
        <v>45803</v>
      </c>
      <c r="J30" s="32"/>
      <c r="K30" s="32"/>
      <c r="M30" s="16"/>
      <c r="N30" s="32"/>
      <c r="O30" s="32"/>
      <c r="P30" s="41"/>
      <c r="Q30" s="32"/>
      <c r="R30" s="32"/>
      <c r="S30" s="41"/>
      <c r="T30" s="32"/>
      <c r="U30" s="32"/>
      <c r="V30" s="41"/>
      <c r="W30" s="32"/>
      <c r="X30" s="32"/>
      <c r="Y30" s="41"/>
      <c r="Z30" s="32"/>
      <c r="AA30" s="32"/>
      <c r="AB30" s="41"/>
      <c r="AC30" s="32"/>
      <c r="AD30" s="32"/>
      <c r="AE30" s="41"/>
      <c r="AF30" s="32"/>
      <c r="AG30" s="32"/>
      <c r="AH30" s="41"/>
      <c r="AI30" s="32"/>
      <c r="AJ30" s="32"/>
      <c r="AK30" s="41"/>
      <c r="AL30" s="32"/>
      <c r="AM30" s="32"/>
      <c r="AN30" s="41"/>
      <c r="AO30" s="32"/>
      <c r="AP30" s="32"/>
      <c r="AQ30" s="41"/>
      <c r="AR30" s="32"/>
      <c r="AS30" s="32"/>
      <c r="AT30" s="41"/>
      <c r="AU30" s="32"/>
      <c r="AV30" s="32"/>
      <c r="AW30" s="41"/>
      <c r="AX30" s="32"/>
      <c r="AY30" s="32"/>
      <c r="AZ30" s="41"/>
      <c r="BA30" s="32"/>
      <c r="BB30" s="32"/>
      <c r="BC30" s="41"/>
      <c r="BD30" s="32"/>
      <c r="BE30" s="32"/>
      <c r="BF30" s="41"/>
      <c r="BG30" s="32"/>
      <c r="BH30" s="32"/>
      <c r="BI30" s="41"/>
      <c r="BJ30" s="32"/>
      <c r="BK30" s="32"/>
      <c r="BL30" s="41"/>
      <c r="BM30" s="32"/>
      <c r="BN30" s="32"/>
      <c r="BO30" s="41"/>
      <c r="BP30" s="32"/>
      <c r="BQ30" s="32"/>
      <c r="BR30" s="41"/>
      <c r="BS30" s="32"/>
      <c r="BT30" s="32"/>
      <c r="BU30" s="41"/>
      <c r="BV30" s="32"/>
      <c r="BW30" s="32"/>
      <c r="BX30" s="41"/>
      <c r="BY30" s="32"/>
      <c r="BZ30" s="32"/>
      <c r="CA30" s="41"/>
      <c r="CB30" s="32"/>
      <c r="CC30" s="32"/>
      <c r="CD30" s="41"/>
      <c r="CE30" s="32"/>
      <c r="CF30" s="32"/>
      <c r="CG30" s="41"/>
      <c r="CH30" s="32"/>
      <c r="CI30" s="32"/>
      <c r="CJ30" s="41"/>
      <c r="CK30" s="32"/>
      <c r="CL30" s="32"/>
      <c r="CM30" s="41"/>
      <c r="CN30" s="32"/>
      <c r="CO30" s="32"/>
      <c r="CP30" s="41"/>
      <c r="CQ30" s="32"/>
      <c r="CR30" s="32"/>
      <c r="CS30" s="41"/>
      <c r="CT30" s="32"/>
      <c r="CU30" s="32"/>
      <c r="CV30" s="41"/>
      <c r="CW30" s="32"/>
      <c r="CX30" s="32"/>
      <c r="CY30" s="41"/>
      <c r="CZ30" s="32"/>
      <c r="DA30" s="32"/>
      <c r="DB30" s="41"/>
      <c r="DC30" s="32"/>
      <c r="DD30" s="32"/>
      <c r="DE30" s="41"/>
      <c r="DF30" s="32"/>
      <c r="DG30" s="32"/>
      <c r="DH30" s="41"/>
      <c r="DI30" s="32"/>
      <c r="DJ30" s="32"/>
      <c r="DK30" s="41"/>
      <c r="DL30" s="32"/>
      <c r="DM30" s="32"/>
      <c r="DN30" s="41"/>
      <c r="DO30" s="32"/>
      <c r="DP30" s="32"/>
      <c r="DQ30" s="41"/>
      <c r="DR30" s="32"/>
      <c r="DS30" s="32"/>
      <c r="DT30" s="41"/>
      <c r="DU30" s="32"/>
      <c r="DV30" s="32"/>
      <c r="DW30" s="41"/>
      <c r="DX30" s="32"/>
      <c r="DY30" s="32"/>
      <c r="DZ30" s="41"/>
      <c r="EA30" s="32"/>
      <c r="EB30" s="32"/>
    </row>
    <row r="31" spans="1:137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6"/>
        <v>0</v>
      </c>
      <c r="G31" s="18" t="e">
        <f t="shared" si="4"/>
        <v>#VALUE!</v>
      </c>
      <c r="I31" s="29">
        <f t="shared" ca="1" si="5"/>
        <v>45804</v>
      </c>
      <c r="J31" s="32"/>
      <c r="K31" s="32"/>
      <c r="M31" s="16"/>
      <c r="N31" s="32"/>
      <c r="O31" s="32"/>
      <c r="P31" s="41"/>
      <c r="Q31" s="32"/>
      <c r="R31" s="32"/>
      <c r="S31" s="41"/>
      <c r="T31" s="32"/>
      <c r="U31" s="32"/>
      <c r="V31" s="41"/>
      <c r="W31" s="32"/>
      <c r="X31" s="32"/>
      <c r="Y31" s="41"/>
      <c r="Z31" s="32"/>
      <c r="AA31" s="32"/>
      <c r="AB31" s="41"/>
      <c r="AC31" s="32"/>
      <c r="AD31" s="32"/>
      <c r="AE31" s="41"/>
      <c r="AF31" s="32"/>
      <c r="AG31" s="32"/>
      <c r="AH31" s="41"/>
      <c r="AI31" s="32"/>
      <c r="AJ31" s="32"/>
      <c r="AK31" s="41"/>
      <c r="AL31" s="32"/>
      <c r="AM31" s="32"/>
      <c r="AN31" s="41"/>
      <c r="AO31" s="32"/>
      <c r="AP31" s="32"/>
      <c r="AQ31" s="41"/>
      <c r="AR31" s="32"/>
      <c r="AS31" s="32"/>
      <c r="AT31" s="41"/>
      <c r="AU31" s="32"/>
      <c r="AV31" s="32"/>
      <c r="AW31" s="41"/>
      <c r="AX31" s="32"/>
      <c r="AY31" s="32"/>
      <c r="AZ31" s="41"/>
      <c r="BA31" s="32"/>
      <c r="BB31" s="32"/>
      <c r="BC31" s="41"/>
      <c r="BD31" s="32"/>
      <c r="BE31" s="32"/>
      <c r="BF31" s="41"/>
      <c r="BG31" s="32"/>
      <c r="BH31" s="32"/>
      <c r="BI31" s="41"/>
      <c r="BJ31" s="32"/>
      <c r="BK31" s="32"/>
      <c r="BL31" s="41"/>
      <c r="BM31" s="32"/>
      <c r="BN31" s="32"/>
      <c r="BO31" s="41"/>
      <c r="BP31" s="32"/>
      <c r="BQ31" s="32"/>
      <c r="BR31" s="41"/>
      <c r="BS31" s="32"/>
      <c r="BT31" s="32"/>
      <c r="BU31" s="41"/>
      <c r="BV31" s="32"/>
      <c r="BW31" s="32"/>
      <c r="BX31" s="41"/>
      <c r="BY31" s="32"/>
      <c r="BZ31" s="32"/>
      <c r="CA31" s="41"/>
      <c r="CB31" s="32"/>
      <c r="CC31" s="32"/>
      <c r="CD31" s="41"/>
      <c r="CE31" s="32"/>
      <c r="CF31" s="32"/>
      <c r="CG31" s="41"/>
      <c r="CH31" s="32"/>
      <c r="CI31" s="32"/>
      <c r="CJ31" s="41"/>
      <c r="CK31" s="32"/>
      <c r="CL31" s="32"/>
      <c r="CM31" s="41"/>
      <c r="CN31" s="32"/>
      <c r="CO31" s="32"/>
      <c r="CP31" s="41"/>
      <c r="CQ31" s="32"/>
      <c r="CR31" s="32"/>
      <c r="CS31" s="41"/>
      <c r="CT31" s="32"/>
      <c r="CU31" s="32"/>
      <c r="CV31" s="41"/>
      <c r="CW31" s="32"/>
      <c r="CX31" s="32"/>
      <c r="CY31" s="41"/>
      <c r="CZ31" s="32"/>
      <c r="DA31" s="32"/>
      <c r="DB31" s="41"/>
      <c r="DC31" s="32"/>
      <c r="DD31" s="32"/>
      <c r="DE31" s="41"/>
      <c r="DF31" s="32"/>
      <c r="DG31" s="32"/>
      <c r="DH31" s="41"/>
      <c r="DI31" s="32"/>
      <c r="DJ31" s="32"/>
      <c r="DK31" s="41"/>
      <c r="DL31" s="32"/>
      <c r="DM31" s="32"/>
      <c r="DN31" s="41"/>
      <c r="DO31" s="32"/>
      <c r="DP31" s="32"/>
      <c r="DQ31" s="41"/>
      <c r="DR31" s="32"/>
      <c r="DS31" s="32"/>
      <c r="DT31" s="41"/>
      <c r="DU31" s="32"/>
      <c r="DV31" s="32"/>
      <c r="DW31" s="41"/>
      <c r="DX31" s="32"/>
      <c r="DY31" s="32"/>
      <c r="DZ31" s="41"/>
      <c r="EA31" s="32"/>
      <c r="EB31" s="32"/>
    </row>
    <row r="32" spans="1:137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6"/>
        <v>0</v>
      </c>
      <c r="G32" s="18" t="e">
        <f t="shared" si="4"/>
        <v>#VALUE!</v>
      </c>
      <c r="I32" s="29">
        <f t="shared" ca="1" si="5"/>
        <v>45805</v>
      </c>
      <c r="J32" s="32"/>
      <c r="K32" s="32"/>
      <c r="M32" s="16"/>
      <c r="N32" s="32"/>
      <c r="O32" s="32"/>
      <c r="P32" s="41"/>
      <c r="Q32" s="32"/>
      <c r="R32" s="32"/>
      <c r="S32" s="41"/>
      <c r="T32" s="32"/>
      <c r="U32" s="32"/>
      <c r="V32" s="41"/>
      <c r="W32" s="32"/>
      <c r="X32" s="32"/>
      <c r="Y32" s="41"/>
      <c r="Z32" s="32"/>
      <c r="AA32" s="32"/>
      <c r="AB32" s="41"/>
      <c r="AC32" s="32"/>
      <c r="AD32" s="32"/>
      <c r="AE32" s="41"/>
      <c r="AF32" s="32"/>
      <c r="AG32" s="32"/>
      <c r="AH32" s="41"/>
      <c r="AI32" s="32"/>
      <c r="AJ32" s="32"/>
      <c r="AK32" s="41"/>
      <c r="AL32" s="32"/>
      <c r="AM32" s="32"/>
      <c r="AN32" s="41"/>
      <c r="AO32" s="32"/>
      <c r="AP32" s="32"/>
      <c r="AQ32" s="41"/>
      <c r="AR32" s="32"/>
      <c r="AS32" s="32"/>
      <c r="AT32" s="41"/>
      <c r="AU32" s="32"/>
      <c r="AV32" s="32"/>
      <c r="AW32" s="41"/>
      <c r="AX32" s="32"/>
      <c r="AY32" s="32"/>
      <c r="AZ32" s="41"/>
      <c r="BA32" s="32"/>
      <c r="BB32" s="32"/>
      <c r="BC32" s="41"/>
      <c r="BD32" s="32"/>
      <c r="BE32" s="32"/>
      <c r="BF32" s="41"/>
      <c r="BG32" s="32"/>
      <c r="BH32" s="32"/>
      <c r="BI32" s="41"/>
      <c r="BJ32" s="32"/>
      <c r="BK32" s="32"/>
      <c r="BL32" s="41"/>
      <c r="BM32" s="32"/>
      <c r="BN32" s="32"/>
      <c r="BO32" s="41"/>
      <c r="BP32" s="32"/>
      <c r="BQ32" s="32"/>
      <c r="BR32" s="41"/>
      <c r="BS32" s="32"/>
      <c r="BT32" s="32"/>
      <c r="BU32" s="41"/>
      <c r="BV32" s="32"/>
      <c r="BW32" s="32"/>
      <c r="BX32" s="41"/>
      <c r="BY32" s="32"/>
      <c r="BZ32" s="32"/>
      <c r="CA32" s="41"/>
      <c r="CB32" s="32"/>
      <c r="CC32" s="32"/>
      <c r="CD32" s="41"/>
      <c r="CE32" s="32"/>
      <c r="CF32" s="32"/>
      <c r="CG32" s="41"/>
      <c r="CH32" s="32"/>
      <c r="CI32" s="32"/>
      <c r="CJ32" s="41"/>
      <c r="CK32" s="32"/>
      <c r="CL32" s="32"/>
      <c r="CM32" s="41"/>
      <c r="CN32" s="32"/>
      <c r="CO32" s="32"/>
      <c r="CP32" s="41"/>
      <c r="CQ32" s="32"/>
      <c r="CR32" s="32"/>
      <c r="CS32" s="41"/>
      <c r="CT32" s="32"/>
      <c r="CU32" s="32"/>
      <c r="CV32" s="41"/>
      <c r="CW32" s="32"/>
      <c r="CX32" s="32"/>
      <c r="CY32" s="41"/>
      <c r="CZ32" s="32"/>
      <c r="DA32" s="32"/>
      <c r="DB32" s="41"/>
      <c r="DC32" s="32"/>
      <c r="DD32" s="32"/>
      <c r="DE32" s="41"/>
      <c r="DF32" s="32"/>
      <c r="DG32" s="32"/>
      <c r="DH32" s="41"/>
      <c r="DI32" s="32"/>
      <c r="DJ32" s="32"/>
      <c r="DK32" s="41"/>
      <c r="DL32" s="32"/>
      <c r="DM32" s="32"/>
      <c r="DN32" s="41"/>
      <c r="DO32" s="32"/>
      <c r="DP32" s="32"/>
      <c r="DQ32" s="41"/>
      <c r="DR32" s="32"/>
      <c r="DS32" s="32"/>
      <c r="DT32" s="41"/>
      <c r="DU32" s="32"/>
      <c r="DV32" s="32"/>
      <c r="DW32" s="41"/>
      <c r="DX32" s="32"/>
      <c r="DY32" s="32"/>
      <c r="DZ32" s="41"/>
      <c r="EA32" s="32"/>
      <c r="EB32" s="32"/>
    </row>
    <row r="33" spans="1:13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6"/>
        <v>0</v>
      </c>
      <c r="G33" s="18" t="e">
        <f t="shared" si="4"/>
        <v>#VALUE!</v>
      </c>
      <c r="I33" s="29">
        <f t="shared" ca="1" si="5"/>
        <v>45806</v>
      </c>
      <c r="J33" s="32"/>
      <c r="K33" s="32"/>
      <c r="M33" s="16"/>
      <c r="N33" s="32"/>
      <c r="O33" s="32"/>
      <c r="P33" s="41"/>
      <c r="Q33" s="32"/>
      <c r="R33" s="32"/>
      <c r="S33" s="41"/>
      <c r="T33" s="32"/>
      <c r="U33" s="32"/>
      <c r="V33" s="41"/>
      <c r="W33" s="32"/>
      <c r="X33" s="32"/>
      <c r="Y33" s="41"/>
      <c r="Z33" s="32"/>
      <c r="AA33" s="32"/>
      <c r="AB33" s="41"/>
      <c r="AC33" s="32"/>
      <c r="AD33" s="32"/>
      <c r="AE33" s="41"/>
      <c r="AF33" s="32"/>
      <c r="AG33" s="32"/>
      <c r="AH33" s="41"/>
      <c r="AI33" s="32"/>
      <c r="AJ33" s="32"/>
      <c r="AK33" s="41"/>
      <c r="AL33" s="32"/>
      <c r="AM33" s="32"/>
      <c r="AN33" s="41"/>
      <c r="AO33" s="32"/>
      <c r="AP33" s="32"/>
      <c r="AQ33" s="41"/>
      <c r="AR33" s="32"/>
      <c r="AS33" s="32"/>
      <c r="AT33" s="41"/>
      <c r="AU33" s="32"/>
      <c r="AV33" s="32"/>
      <c r="AW33" s="41"/>
      <c r="AX33" s="32"/>
      <c r="AY33" s="32"/>
      <c r="AZ33" s="41"/>
      <c r="BA33" s="32"/>
      <c r="BB33" s="32"/>
      <c r="BC33" s="41"/>
      <c r="BD33" s="32"/>
      <c r="BE33" s="32"/>
      <c r="BF33" s="41"/>
      <c r="BG33" s="32"/>
      <c r="BH33" s="32"/>
      <c r="BI33" s="41"/>
      <c r="BJ33" s="32"/>
      <c r="BK33" s="32"/>
      <c r="BL33" s="41"/>
      <c r="BM33" s="32"/>
      <c r="BN33" s="32"/>
      <c r="BO33" s="41"/>
      <c r="BP33" s="32"/>
      <c r="BQ33" s="32"/>
      <c r="BR33" s="41"/>
      <c r="BS33" s="32"/>
      <c r="BT33" s="32"/>
      <c r="BU33" s="41"/>
      <c r="BV33" s="32"/>
      <c r="BW33" s="32"/>
      <c r="BX33" s="41"/>
      <c r="BY33" s="32"/>
      <c r="BZ33" s="32"/>
      <c r="CA33" s="41"/>
      <c r="CB33" s="32"/>
      <c r="CC33" s="32"/>
      <c r="CD33" s="41"/>
      <c r="CE33" s="32"/>
      <c r="CF33" s="32"/>
      <c r="CG33" s="41"/>
      <c r="CH33" s="32"/>
      <c r="CI33" s="32"/>
      <c r="CJ33" s="41"/>
      <c r="CK33" s="32"/>
      <c r="CL33" s="32"/>
      <c r="CM33" s="41"/>
      <c r="CN33" s="32"/>
      <c r="CO33" s="32"/>
      <c r="CP33" s="41"/>
      <c r="CQ33" s="32"/>
      <c r="CR33" s="32"/>
      <c r="CS33" s="41"/>
      <c r="CT33" s="32"/>
      <c r="CU33" s="32"/>
      <c r="CV33" s="41"/>
      <c r="CW33" s="32"/>
      <c r="CX33" s="32"/>
      <c r="CY33" s="41"/>
      <c r="CZ33" s="32"/>
      <c r="DA33" s="32"/>
      <c r="DB33" s="41"/>
      <c r="DC33" s="32"/>
      <c r="DD33" s="32"/>
      <c r="DE33" s="41"/>
      <c r="DF33" s="32"/>
      <c r="DG33" s="32"/>
      <c r="DH33" s="41"/>
      <c r="DI33" s="32"/>
      <c r="DJ33" s="32"/>
      <c r="DK33" s="41"/>
      <c r="DL33" s="32"/>
      <c r="DM33" s="32"/>
      <c r="DN33" s="41"/>
      <c r="DO33" s="32"/>
      <c r="DP33" s="32"/>
      <c r="DQ33" s="41"/>
      <c r="DR33" s="32"/>
      <c r="DS33" s="32"/>
      <c r="DT33" s="41"/>
      <c r="DU33" s="32"/>
      <c r="DV33" s="32"/>
      <c r="DW33" s="41"/>
      <c r="DX33" s="32"/>
      <c r="DY33" s="32"/>
      <c r="DZ33" s="41"/>
      <c r="EA33" s="34"/>
      <c r="EB33" s="34"/>
    </row>
    <row r="34" spans="1:13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6"/>
        <v>0</v>
      </c>
      <c r="G34" s="18" t="e">
        <f>D34/B34</f>
        <v>#VALUE!</v>
      </c>
      <c r="I34" s="29">
        <f t="shared" ca="1" si="5"/>
        <v>45807</v>
      </c>
      <c r="J34" s="32"/>
      <c r="K34" s="32"/>
      <c r="M34" s="16"/>
      <c r="N34" s="32"/>
      <c r="O34" s="32"/>
      <c r="P34" s="41"/>
      <c r="Q34" s="32"/>
      <c r="R34" s="32"/>
      <c r="S34" s="41"/>
      <c r="T34" s="32"/>
      <c r="U34" s="32"/>
      <c r="V34" s="41"/>
      <c r="W34" s="32"/>
      <c r="X34" s="32"/>
      <c r="Y34" s="41"/>
      <c r="Z34" s="32"/>
      <c r="AA34" s="32"/>
      <c r="AB34" s="41"/>
      <c r="AC34" s="32"/>
      <c r="AD34" s="32"/>
      <c r="AE34" s="41"/>
      <c r="AF34" s="32"/>
      <c r="AG34" s="32"/>
      <c r="AH34" s="41"/>
      <c r="AI34" s="32"/>
      <c r="AJ34" s="32"/>
      <c r="AK34" s="41"/>
      <c r="AL34" s="32"/>
      <c r="AM34" s="32"/>
      <c r="AN34" s="41"/>
      <c r="AO34" s="32"/>
      <c r="AP34" s="32"/>
      <c r="AQ34" s="41"/>
      <c r="AR34" s="32"/>
      <c r="AS34" s="32"/>
      <c r="AT34" s="41"/>
      <c r="AU34" s="32"/>
      <c r="AV34" s="32"/>
      <c r="AW34" s="41"/>
      <c r="AX34" s="32"/>
      <c r="AY34" s="32"/>
      <c r="AZ34" s="41"/>
      <c r="BA34" s="32"/>
      <c r="BB34" s="32"/>
      <c r="BC34" s="41"/>
      <c r="BD34" s="32"/>
      <c r="BE34" s="32"/>
      <c r="BF34" s="41"/>
      <c r="BG34" s="32"/>
      <c r="BH34" s="32"/>
      <c r="BI34" s="41"/>
      <c r="BJ34" s="32"/>
      <c r="BK34" s="32"/>
      <c r="BL34" s="41"/>
      <c r="BM34" s="32"/>
      <c r="BN34" s="32"/>
      <c r="BO34" s="41"/>
      <c r="BP34" s="32"/>
      <c r="BQ34" s="32"/>
      <c r="BR34" s="41"/>
      <c r="BS34" s="32"/>
      <c r="BT34" s="32"/>
      <c r="BU34" s="41"/>
      <c r="BV34" s="32"/>
      <c r="BW34" s="32"/>
      <c r="BX34" s="41"/>
      <c r="BY34" s="32"/>
      <c r="BZ34" s="32"/>
      <c r="CA34" s="41"/>
      <c r="CB34" s="32"/>
      <c r="CC34" s="32"/>
      <c r="CD34" s="41"/>
      <c r="CE34" s="32"/>
      <c r="CF34" s="32"/>
      <c r="CG34" s="41"/>
      <c r="CH34" s="32"/>
      <c r="CI34" s="32"/>
      <c r="CJ34" s="41"/>
      <c r="CK34" s="32"/>
      <c r="CL34" s="32"/>
      <c r="CM34" s="41"/>
      <c r="CN34" s="32"/>
      <c r="CO34" s="32"/>
      <c r="CP34" s="41"/>
      <c r="CQ34" s="32"/>
      <c r="CR34" s="32"/>
      <c r="CS34" s="41"/>
      <c r="CT34" s="32"/>
      <c r="CU34" s="32"/>
      <c r="CV34" s="41"/>
      <c r="CW34" s="32"/>
      <c r="CX34" s="32"/>
      <c r="CY34" s="41"/>
      <c r="CZ34" s="32"/>
      <c r="DA34" s="32"/>
      <c r="DB34" s="41"/>
      <c r="DC34" s="32"/>
      <c r="DD34" s="32"/>
      <c r="DE34" s="41"/>
      <c r="DF34" s="32"/>
      <c r="DG34" s="32"/>
      <c r="DH34" s="41"/>
      <c r="DI34" s="32"/>
      <c r="DJ34" s="32"/>
      <c r="DK34" s="41"/>
      <c r="DL34" s="32"/>
      <c r="DM34" s="32"/>
      <c r="DN34" s="41"/>
      <c r="DO34" s="32"/>
      <c r="DP34" s="32"/>
      <c r="DQ34" s="41"/>
      <c r="DR34" s="32"/>
      <c r="DS34" s="32"/>
      <c r="DT34" s="41"/>
      <c r="DU34" s="32"/>
      <c r="DV34" s="32"/>
      <c r="DW34" s="41"/>
      <c r="DX34" s="32"/>
      <c r="DY34" s="32"/>
      <c r="DZ34" s="41"/>
      <c r="EA34" s="32"/>
      <c r="EB34" s="32"/>
    </row>
    <row r="35" spans="1:13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6"/>
        <v>0</v>
      </c>
      <c r="G35" s="18" t="e">
        <f t="shared" si="4"/>
        <v>#VALUE!</v>
      </c>
      <c r="I35" s="29">
        <f t="shared" ca="1" si="5"/>
        <v>45808</v>
      </c>
      <c r="J35" s="32"/>
      <c r="K35" s="32"/>
      <c r="M35" s="46"/>
      <c r="N35" s="32"/>
      <c r="O35" s="32"/>
      <c r="P35" s="41"/>
      <c r="Q35" s="32"/>
      <c r="R35" s="32"/>
      <c r="S35" s="41"/>
      <c r="T35" s="32"/>
      <c r="U35" s="32"/>
      <c r="V35" s="41"/>
      <c r="W35" s="32"/>
      <c r="X35" s="32"/>
      <c r="Y35" s="41"/>
      <c r="Z35" s="32"/>
      <c r="AA35" s="32"/>
      <c r="AB35" s="41"/>
      <c r="AC35" s="32"/>
      <c r="AD35" s="32"/>
      <c r="AE35" s="41"/>
      <c r="AF35" s="32"/>
      <c r="AG35" s="32"/>
      <c r="AH35" s="41"/>
      <c r="AI35" s="32"/>
      <c r="AJ35" s="32"/>
      <c r="AK35" s="41"/>
      <c r="AL35" s="32"/>
      <c r="AM35" s="32"/>
      <c r="AN35" s="41"/>
      <c r="AO35" s="32"/>
      <c r="AP35" s="32"/>
      <c r="AQ35" s="41"/>
      <c r="AR35" s="32"/>
      <c r="AS35" s="32"/>
      <c r="AT35" s="41"/>
      <c r="AU35" s="32"/>
      <c r="AV35" s="32"/>
      <c r="AW35" s="41"/>
      <c r="AX35" s="32"/>
      <c r="AY35" s="32"/>
      <c r="AZ35" s="41"/>
      <c r="BA35" s="32"/>
      <c r="BB35" s="32"/>
      <c r="BC35" s="41"/>
      <c r="BD35" s="32"/>
      <c r="BE35" s="32"/>
      <c r="BF35" s="41"/>
      <c r="BG35" s="32"/>
      <c r="BH35" s="32"/>
      <c r="BI35" s="41"/>
      <c r="BJ35" s="32"/>
      <c r="BK35" s="32"/>
      <c r="BL35" s="41"/>
      <c r="BM35" s="32"/>
      <c r="BN35" s="32"/>
      <c r="BO35" s="41"/>
      <c r="BP35" s="32"/>
      <c r="BQ35" s="32"/>
      <c r="BR35" s="41"/>
      <c r="BS35" s="32"/>
      <c r="BT35" s="32"/>
      <c r="BU35" s="41"/>
      <c r="BV35" s="32"/>
      <c r="BW35" s="32"/>
      <c r="BX35" s="41"/>
      <c r="BY35" s="32"/>
      <c r="BZ35" s="32"/>
      <c r="CA35" s="41"/>
      <c r="CB35" s="32"/>
      <c r="CC35" s="32"/>
      <c r="CD35" s="41"/>
      <c r="CE35" s="32"/>
      <c r="CF35" s="32"/>
      <c r="CG35" s="41"/>
      <c r="CH35" s="32"/>
      <c r="CI35" s="32"/>
      <c r="CJ35" s="41"/>
      <c r="CK35" s="32"/>
      <c r="CL35" s="32"/>
      <c r="CM35" s="41"/>
      <c r="CN35" s="32"/>
      <c r="CO35" s="32"/>
      <c r="CP35" s="41"/>
      <c r="CQ35" s="32"/>
      <c r="CR35" s="32"/>
      <c r="CS35" s="41"/>
      <c r="CT35" s="32"/>
      <c r="CU35" s="32"/>
      <c r="CV35" s="41"/>
      <c r="CW35" s="32"/>
      <c r="CX35" s="32"/>
      <c r="CY35" s="41"/>
      <c r="CZ35" s="32"/>
      <c r="DA35" s="32"/>
      <c r="DB35" s="41"/>
      <c r="DC35" s="32"/>
      <c r="DD35" s="32"/>
      <c r="DE35" s="41"/>
      <c r="DF35" s="32"/>
      <c r="DG35" s="32"/>
      <c r="DH35" s="41"/>
      <c r="DI35" s="32"/>
      <c r="DJ35" s="32"/>
      <c r="DK35" s="41"/>
      <c r="DL35" s="32"/>
      <c r="DM35" s="32"/>
      <c r="DN35" s="41"/>
      <c r="DO35" s="32"/>
      <c r="DP35" s="32"/>
      <c r="DQ35" s="41"/>
      <c r="DR35" s="32"/>
      <c r="DS35" s="32"/>
      <c r="DT35" s="41"/>
      <c r="DU35" s="32"/>
      <c r="DV35" s="32"/>
      <c r="DW35" s="41"/>
      <c r="DX35" s="32"/>
      <c r="DY35" s="32"/>
      <c r="DZ35" s="41"/>
      <c r="EA35" s="32"/>
      <c r="EB35" s="32"/>
    </row>
    <row r="36" spans="1:13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>D36/B36</f>
        <v>#DIV/0!</v>
      </c>
      <c r="N36" s="32"/>
      <c r="O36" s="32"/>
      <c r="P36" s="41"/>
      <c r="Q36" s="32"/>
      <c r="R36" s="32"/>
      <c r="S36" s="41"/>
      <c r="T36" s="32"/>
      <c r="U36" s="32"/>
      <c r="V36" s="41"/>
      <c r="W36" s="32"/>
      <c r="X36" s="32"/>
      <c r="Y36" s="41"/>
      <c r="Z36" s="32"/>
      <c r="AA36" s="32"/>
      <c r="AB36" s="41"/>
      <c r="AC36" s="32"/>
      <c r="AD36" s="32"/>
      <c r="AE36" s="41"/>
      <c r="AF36" s="32"/>
      <c r="AG36" s="32"/>
      <c r="AH36" s="41"/>
      <c r="AI36" s="32"/>
      <c r="AJ36" s="32"/>
      <c r="AK36" s="41"/>
      <c r="AL36" s="32"/>
      <c r="AM36" s="32"/>
      <c r="AN36" s="41"/>
      <c r="AO36" s="32"/>
      <c r="AP36" s="32"/>
      <c r="AQ36" s="41"/>
      <c r="AR36" s="32"/>
      <c r="AS36" s="32"/>
      <c r="AT36" s="41"/>
      <c r="AU36" s="32"/>
      <c r="AV36" s="32"/>
      <c r="AW36" s="41"/>
      <c r="AX36" s="32"/>
      <c r="AY36" s="32"/>
      <c r="AZ36" s="41"/>
      <c r="BA36" s="32"/>
      <c r="BB36" s="32"/>
      <c r="BC36" s="41"/>
      <c r="BD36" s="32"/>
      <c r="BE36" s="32"/>
      <c r="BF36" s="41"/>
      <c r="BG36" s="32"/>
      <c r="BH36" s="32"/>
      <c r="BI36" s="41"/>
      <c r="BJ36" s="32"/>
      <c r="BK36" s="32"/>
      <c r="BL36" s="41"/>
      <c r="BM36" s="32"/>
      <c r="BN36" s="32"/>
      <c r="BO36" s="41"/>
      <c r="BP36" s="32"/>
      <c r="BQ36" s="32"/>
      <c r="BR36" s="41"/>
      <c r="BS36" s="32"/>
      <c r="BT36" s="32"/>
      <c r="BU36" s="41"/>
      <c r="BV36" s="32"/>
      <c r="BW36" s="32"/>
      <c r="BX36" s="41"/>
      <c r="BY36" s="32"/>
      <c r="BZ36" s="32"/>
      <c r="CA36" s="41"/>
      <c r="CB36" s="32"/>
      <c r="CC36" s="32"/>
      <c r="CD36" s="41"/>
      <c r="CE36" s="32"/>
      <c r="CF36" s="32"/>
      <c r="CG36" s="41"/>
      <c r="CH36" s="32"/>
      <c r="CI36" s="32"/>
      <c r="CJ36" s="41"/>
      <c r="CK36" s="32"/>
      <c r="CL36" s="32"/>
      <c r="CM36" s="41"/>
      <c r="CN36" s="32"/>
      <c r="CO36" s="32"/>
      <c r="CP36" s="41"/>
      <c r="CQ36" s="32"/>
      <c r="CR36" s="32"/>
      <c r="CS36" s="41"/>
      <c r="CT36" s="32"/>
      <c r="CU36" s="32"/>
      <c r="CV36" s="41"/>
      <c r="CW36" s="32"/>
      <c r="CX36" s="32"/>
      <c r="CY36" s="41"/>
      <c r="CZ36" s="32"/>
      <c r="DA36" s="32"/>
      <c r="DB36" s="41"/>
      <c r="DC36" s="32"/>
      <c r="DD36" s="32"/>
      <c r="DE36" s="41"/>
      <c r="DF36" s="32"/>
      <c r="DG36" s="32"/>
      <c r="DH36" s="41"/>
      <c r="DI36" s="32"/>
      <c r="DJ36" s="32"/>
      <c r="DK36" s="41"/>
      <c r="DL36" s="32"/>
      <c r="DM36" s="32"/>
      <c r="DN36" s="41"/>
      <c r="DO36" s="32"/>
      <c r="DP36" s="32"/>
      <c r="DQ36" s="41"/>
      <c r="DR36" s="32"/>
      <c r="DS36" s="32"/>
      <c r="DT36" s="41"/>
      <c r="DU36" s="32"/>
      <c r="DV36" s="32"/>
      <c r="DW36" s="41"/>
      <c r="DX36" s="32"/>
      <c r="DY36" s="32"/>
      <c r="DZ36" s="41"/>
      <c r="EA36" s="32"/>
      <c r="EB36" s="32"/>
    </row>
    <row r="37" spans="1:132" x14ac:dyDescent="0.4">
      <c r="B37" s="24"/>
    </row>
    <row r="45" spans="1:132" x14ac:dyDescent="0.4">
      <c r="C45" s="27"/>
      <c r="G45" s="27"/>
    </row>
    <row r="46" spans="1:132" x14ac:dyDescent="0.4">
      <c r="G46" s="27"/>
    </row>
    <row r="47" spans="1:132" x14ac:dyDescent="0.4">
      <c r="G47" s="27"/>
    </row>
    <row r="48" spans="1:132" x14ac:dyDescent="0.4">
      <c r="G48" s="27"/>
    </row>
    <row r="49" spans="7:7" x14ac:dyDescent="0.4">
      <c r="G49" s="27"/>
    </row>
    <row r="51" spans="7:7" x14ac:dyDescent="0.4">
      <c r="G51" s="27"/>
    </row>
    <row r="53" spans="7:7" x14ac:dyDescent="0.4">
      <c r="G53" s="27"/>
    </row>
    <row r="54" spans="7:7" x14ac:dyDescent="0.4">
      <c r="G54" s="27"/>
    </row>
  </sheetData>
  <mergeCells count="41">
    <mergeCell ref="AR3:AS3"/>
    <mergeCell ref="B2:G2"/>
    <mergeCell ref="N3:O3"/>
    <mergeCell ref="Q3:R3"/>
    <mergeCell ref="T3:U3"/>
    <mergeCell ref="W3:X3"/>
    <mergeCell ref="Z3:AA3"/>
    <mergeCell ref="AC3:AD3"/>
    <mergeCell ref="AF3:AG3"/>
    <mergeCell ref="AI3:AJ3"/>
    <mergeCell ref="AL3:AM3"/>
    <mergeCell ref="AO3:AP3"/>
    <mergeCell ref="CB3:CC3"/>
    <mergeCell ref="AU3:AV3"/>
    <mergeCell ref="AX3:AY3"/>
    <mergeCell ref="BA3:BB3"/>
    <mergeCell ref="BD3:BE3"/>
    <mergeCell ref="BG3:BH3"/>
    <mergeCell ref="BJ3:BK3"/>
    <mergeCell ref="BM3:BN3"/>
    <mergeCell ref="BP3:BQ3"/>
    <mergeCell ref="BS3:BT3"/>
    <mergeCell ref="BV3:BW3"/>
    <mergeCell ref="BY3:BZ3"/>
    <mergeCell ref="DL3:DM3"/>
    <mergeCell ref="CE3:CF3"/>
    <mergeCell ref="CH3:CI3"/>
    <mergeCell ref="CK3:CL3"/>
    <mergeCell ref="CN3:CO3"/>
    <mergeCell ref="CQ3:CR3"/>
    <mergeCell ref="CT3:CU3"/>
    <mergeCell ref="CW3:CX3"/>
    <mergeCell ref="CZ3:DA3"/>
    <mergeCell ref="DC3:DD3"/>
    <mergeCell ref="DF3:DG3"/>
    <mergeCell ref="DI3:DJ3"/>
    <mergeCell ref="DO3:DP3"/>
    <mergeCell ref="DR3:DS3"/>
    <mergeCell ref="DU3:DV3"/>
    <mergeCell ref="DX3:DY3"/>
    <mergeCell ref="EA3:EB3"/>
  </mergeCells>
  <phoneticPr fontId="3"/>
  <conditionalFormatting sqref="M5:M35">
    <cfRule type="expression" dxfId="39" priority="5">
      <formula>WEEKDAY(M5)=7</formula>
    </cfRule>
    <cfRule type="expression" dxfId="38" priority="6">
      <formula>WEEKDAY(M5)=1</formula>
    </cfRule>
  </conditionalFormatting>
  <conditionalFormatting sqref="A5:A35">
    <cfRule type="expression" dxfId="37" priority="1">
      <formula>WEEKDAY(A5)=7</formula>
    </cfRule>
    <cfRule type="expression" dxfId="36" priority="2">
      <formula>WEEKDAY(A5)=1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813"/>
  <sheetViews>
    <sheetView workbookViewId="0">
      <selection activeCell="C20" sqref="C20"/>
    </sheetView>
  </sheetViews>
  <sheetFormatPr defaultRowHeight="18.75" x14ac:dyDescent="0.4"/>
  <cols>
    <col min="1" max="1" width="10" style="1" bestFit="1" customWidth="1"/>
    <col min="2" max="2" width="10.375" style="1" bestFit="1" customWidth="1"/>
    <col min="3" max="3" width="13.875" style="1" customWidth="1"/>
    <col min="4" max="4" width="9" style="1" bestFit="1" customWidth="1"/>
    <col min="5" max="5" width="8.125" style="1" customWidth="1"/>
    <col min="6" max="6" width="11.125" style="1" bestFit="1" customWidth="1"/>
    <col min="7" max="7" width="8.125" style="1" bestFit="1" customWidth="1"/>
    <col min="9" max="9" width="13.375" bestFit="1" customWidth="1"/>
    <col min="10" max="10" width="16.25" bestFit="1" customWidth="1"/>
    <col min="12" max="12" width="19.25" bestFit="1" customWidth="1"/>
    <col min="14" max="14" width="12.25" bestFit="1" customWidth="1"/>
  </cols>
  <sheetData>
    <row r="1" spans="1:16" x14ac:dyDescent="0.4">
      <c r="A1" s="1" t="s">
        <v>103</v>
      </c>
      <c r="B1" s="51">
        <v>2003</v>
      </c>
    </row>
    <row r="2" spans="1:16" x14ac:dyDescent="0.4">
      <c r="A2" s="2"/>
      <c r="B2" s="108"/>
      <c r="C2" s="108"/>
      <c r="D2" s="108"/>
      <c r="E2" s="108"/>
      <c r="F2" s="108"/>
      <c r="G2" s="108"/>
    </row>
    <row r="3" spans="1:16" x14ac:dyDescent="0.4">
      <c r="A3" s="2"/>
      <c r="B3" s="9"/>
      <c r="C3" s="9"/>
      <c r="D3" s="9"/>
      <c r="E3" s="9"/>
      <c r="F3" s="9"/>
      <c r="G3" s="10"/>
      <c r="J3" s="35"/>
    </row>
    <row r="4" spans="1:16" x14ac:dyDescent="0.4">
      <c r="A4" s="2"/>
      <c r="B4" s="2" t="s">
        <v>38</v>
      </c>
      <c r="C4" s="14" t="s">
        <v>11</v>
      </c>
      <c r="D4" s="14" t="s">
        <v>12</v>
      </c>
      <c r="E4" s="2" t="s">
        <v>81</v>
      </c>
      <c r="F4" s="15" t="s">
        <v>14</v>
      </c>
      <c r="G4" s="2" t="s">
        <v>15</v>
      </c>
      <c r="I4" s="14" t="s">
        <v>104</v>
      </c>
      <c r="J4" s="14" t="s">
        <v>105</v>
      </c>
    </row>
    <row r="5" spans="1:16" x14ac:dyDescent="0.4">
      <c r="A5" s="16">
        <f ca="1">合計!$A5</f>
        <v>45778</v>
      </c>
      <c r="B5" s="17"/>
      <c r="C5" s="17">
        <f>B5/1.1</f>
        <v>0</v>
      </c>
      <c r="D5" s="35"/>
      <c r="E5" s="17">
        <f>D5*1.1</f>
        <v>0</v>
      </c>
      <c r="F5" s="15">
        <f>D5-C5+J5+L5</f>
        <v>0</v>
      </c>
      <c r="G5" s="18" t="e">
        <f>D5/C5</f>
        <v>#DIV/0!</v>
      </c>
      <c r="I5" s="17"/>
      <c r="J5" s="34"/>
      <c r="P5" s="35"/>
    </row>
    <row r="6" spans="1:16" x14ac:dyDescent="0.4">
      <c r="A6" s="16">
        <f ca="1">合計!$A6</f>
        <v>45779</v>
      </c>
      <c r="B6" s="17"/>
      <c r="C6" s="17">
        <f t="shared" ref="C6:C33" si="0">B6/1.1</f>
        <v>0</v>
      </c>
      <c r="D6" s="35"/>
      <c r="E6" s="17">
        <f t="shared" ref="E6:E35" si="1">D6*1.1</f>
        <v>0</v>
      </c>
      <c r="F6" s="15">
        <f>D6-C6+J6+L6+K6</f>
        <v>0</v>
      </c>
      <c r="G6" s="18" t="e">
        <f t="shared" ref="G6:G35" si="2">D6/C6</f>
        <v>#DIV/0!</v>
      </c>
      <c r="I6" s="17"/>
      <c r="J6" s="34"/>
      <c r="P6" s="35"/>
    </row>
    <row r="7" spans="1:16" x14ac:dyDescent="0.4">
      <c r="A7" s="16">
        <f ca="1">合計!$A7</f>
        <v>45780</v>
      </c>
      <c r="B7" s="17"/>
      <c r="C7" s="17">
        <f t="shared" si="0"/>
        <v>0</v>
      </c>
      <c r="D7" s="35"/>
      <c r="E7" s="17">
        <f t="shared" si="1"/>
        <v>0</v>
      </c>
      <c r="F7" s="15">
        <f>D7-C7+J7+L7+K7</f>
        <v>0</v>
      </c>
      <c r="G7" s="18" t="e">
        <f t="shared" si="2"/>
        <v>#DIV/0!</v>
      </c>
      <c r="I7" s="17"/>
      <c r="J7" s="17"/>
      <c r="P7" s="35"/>
    </row>
    <row r="8" spans="1:16" x14ac:dyDescent="0.4">
      <c r="A8" s="16">
        <f ca="1">合計!$A8</f>
        <v>45781</v>
      </c>
      <c r="B8" s="17"/>
      <c r="C8" s="17">
        <f t="shared" si="0"/>
        <v>0</v>
      </c>
      <c r="D8" s="35"/>
      <c r="E8" s="17">
        <f>D8*1.1</f>
        <v>0</v>
      </c>
      <c r="F8" s="15">
        <f>D8-C8+J8+L8+K8</f>
        <v>0</v>
      </c>
      <c r="G8" s="18" t="e">
        <f t="shared" si="2"/>
        <v>#DIV/0!</v>
      </c>
      <c r="I8" s="17"/>
      <c r="J8" s="17"/>
      <c r="P8" s="35"/>
    </row>
    <row r="9" spans="1:16" x14ac:dyDescent="0.4">
      <c r="A9" s="16">
        <f ca="1">合計!$A9</f>
        <v>45782</v>
      </c>
      <c r="B9" s="17"/>
      <c r="C9" s="17">
        <f t="shared" si="0"/>
        <v>0</v>
      </c>
      <c r="D9" s="35"/>
      <c r="E9" s="17">
        <f t="shared" si="1"/>
        <v>0</v>
      </c>
      <c r="F9" s="15">
        <f t="shared" ref="F9:F35" si="3">D9-C9+J9+L9+K9</f>
        <v>0</v>
      </c>
      <c r="G9" s="18" t="e">
        <f t="shared" si="2"/>
        <v>#DIV/0!</v>
      </c>
      <c r="I9" s="17"/>
      <c r="J9" s="17"/>
      <c r="P9" s="35"/>
    </row>
    <row r="10" spans="1:16" x14ac:dyDescent="0.4">
      <c r="A10" s="16">
        <f ca="1">合計!$A10</f>
        <v>45783</v>
      </c>
      <c r="B10" s="17"/>
      <c r="C10" s="17">
        <f t="shared" si="0"/>
        <v>0</v>
      </c>
      <c r="D10" s="35"/>
      <c r="E10" s="17">
        <f t="shared" si="1"/>
        <v>0</v>
      </c>
      <c r="F10" s="15">
        <f t="shared" si="3"/>
        <v>0</v>
      </c>
      <c r="G10" s="18" t="e">
        <f t="shared" si="2"/>
        <v>#DIV/0!</v>
      </c>
      <c r="I10" s="17"/>
      <c r="J10" s="17"/>
      <c r="P10" s="35"/>
    </row>
    <row r="11" spans="1:16" x14ac:dyDescent="0.4">
      <c r="A11" s="16">
        <f ca="1">合計!$A11</f>
        <v>45784</v>
      </c>
      <c r="B11" s="17"/>
      <c r="C11" s="17">
        <f t="shared" si="0"/>
        <v>0</v>
      </c>
      <c r="D11" s="35"/>
      <c r="E11" s="17">
        <f t="shared" si="1"/>
        <v>0</v>
      </c>
      <c r="F11" s="15">
        <f t="shared" si="3"/>
        <v>0</v>
      </c>
      <c r="G11" s="18" t="e">
        <f t="shared" si="2"/>
        <v>#DIV/0!</v>
      </c>
      <c r="I11" s="17"/>
      <c r="J11" s="17"/>
      <c r="P11" s="35"/>
    </row>
    <row r="12" spans="1:16" x14ac:dyDescent="0.4">
      <c r="A12" s="16">
        <f ca="1">合計!$A12</f>
        <v>45785</v>
      </c>
      <c r="B12" s="17"/>
      <c r="C12" s="17">
        <f t="shared" si="0"/>
        <v>0</v>
      </c>
      <c r="D12" s="35"/>
      <c r="E12" s="17">
        <f t="shared" si="1"/>
        <v>0</v>
      </c>
      <c r="F12" s="15">
        <f t="shared" si="3"/>
        <v>0</v>
      </c>
      <c r="G12" s="18" t="e">
        <f t="shared" si="2"/>
        <v>#DIV/0!</v>
      </c>
      <c r="I12" s="17"/>
      <c r="J12" s="17"/>
      <c r="P12" s="35"/>
    </row>
    <row r="13" spans="1:16" x14ac:dyDescent="0.4">
      <c r="A13" s="16">
        <f ca="1">合計!$A13</f>
        <v>45786</v>
      </c>
      <c r="B13" s="17"/>
      <c r="C13" s="17">
        <f t="shared" si="0"/>
        <v>0</v>
      </c>
      <c r="D13" s="35"/>
      <c r="E13" s="17">
        <f t="shared" si="1"/>
        <v>0</v>
      </c>
      <c r="F13" s="15">
        <f t="shared" si="3"/>
        <v>0</v>
      </c>
      <c r="G13" s="18" t="e">
        <f t="shared" si="2"/>
        <v>#DIV/0!</v>
      </c>
      <c r="I13" s="17"/>
      <c r="J13" s="17"/>
      <c r="P13" s="35"/>
    </row>
    <row r="14" spans="1:16" x14ac:dyDescent="0.4">
      <c r="A14" s="16">
        <f ca="1">合計!$A14</f>
        <v>45787</v>
      </c>
      <c r="B14" s="17"/>
      <c r="C14" s="17">
        <f t="shared" si="0"/>
        <v>0</v>
      </c>
      <c r="D14" s="35"/>
      <c r="E14" s="17">
        <f t="shared" si="1"/>
        <v>0</v>
      </c>
      <c r="F14" s="15">
        <f>D14-C14+J14+L14+K14</f>
        <v>0</v>
      </c>
      <c r="G14" s="18" t="e">
        <f t="shared" si="2"/>
        <v>#DIV/0!</v>
      </c>
      <c r="I14" s="17"/>
      <c r="J14" s="17"/>
      <c r="P14" s="35"/>
    </row>
    <row r="15" spans="1:16" x14ac:dyDescent="0.4">
      <c r="A15" s="16">
        <f ca="1">合計!$A15</f>
        <v>45788</v>
      </c>
      <c r="B15" s="17"/>
      <c r="C15" s="17">
        <f t="shared" si="0"/>
        <v>0</v>
      </c>
      <c r="D15" s="35"/>
      <c r="E15" s="17">
        <f t="shared" si="1"/>
        <v>0</v>
      </c>
      <c r="F15" s="15">
        <f t="shared" si="3"/>
        <v>0</v>
      </c>
      <c r="G15" s="18" t="e">
        <f t="shared" si="2"/>
        <v>#DIV/0!</v>
      </c>
      <c r="I15" s="17"/>
      <c r="J15" s="17"/>
      <c r="P15" s="35"/>
    </row>
    <row r="16" spans="1:16" x14ac:dyDescent="0.4">
      <c r="A16" s="16">
        <f ca="1">合計!$A16</f>
        <v>45789</v>
      </c>
      <c r="B16" s="17"/>
      <c r="C16" s="17">
        <f t="shared" si="0"/>
        <v>0</v>
      </c>
      <c r="D16" s="35"/>
      <c r="E16" s="17">
        <f t="shared" si="1"/>
        <v>0</v>
      </c>
      <c r="F16" s="15">
        <f t="shared" si="3"/>
        <v>0</v>
      </c>
      <c r="G16" s="18" t="e">
        <f t="shared" si="2"/>
        <v>#DIV/0!</v>
      </c>
      <c r="I16" s="17"/>
      <c r="J16" s="17"/>
      <c r="P16" s="35"/>
    </row>
    <row r="17" spans="1:16" x14ac:dyDescent="0.4">
      <c r="A17" s="16">
        <f ca="1">合計!$A17</f>
        <v>45790</v>
      </c>
      <c r="B17" s="17"/>
      <c r="C17" s="17">
        <f t="shared" si="0"/>
        <v>0</v>
      </c>
      <c r="D17" s="35"/>
      <c r="E17" s="17">
        <f t="shared" si="1"/>
        <v>0</v>
      </c>
      <c r="F17" s="15">
        <f t="shared" si="3"/>
        <v>0</v>
      </c>
      <c r="G17" s="18" t="e">
        <f t="shared" si="2"/>
        <v>#DIV/0!</v>
      </c>
      <c r="I17" s="17"/>
      <c r="J17" s="17"/>
      <c r="K17" s="42"/>
      <c r="P17" s="35"/>
    </row>
    <row r="18" spans="1:16" x14ac:dyDescent="0.4">
      <c r="A18" s="16">
        <f ca="1">合計!$A18</f>
        <v>45791</v>
      </c>
      <c r="B18" s="17"/>
      <c r="C18" s="17">
        <f t="shared" si="0"/>
        <v>0</v>
      </c>
      <c r="D18" s="35"/>
      <c r="E18" s="17">
        <f t="shared" si="1"/>
        <v>0</v>
      </c>
      <c r="F18" s="15">
        <f t="shared" si="3"/>
        <v>0</v>
      </c>
      <c r="G18" s="18" t="e">
        <f t="shared" si="2"/>
        <v>#DIV/0!</v>
      </c>
      <c r="I18" s="17"/>
      <c r="J18" s="17"/>
      <c r="K18" s="42"/>
      <c r="P18" s="35"/>
    </row>
    <row r="19" spans="1:16" x14ac:dyDescent="0.4">
      <c r="A19" s="16">
        <f ca="1">合計!$A19</f>
        <v>45792</v>
      </c>
      <c r="B19" s="17"/>
      <c r="C19" s="17">
        <f t="shared" si="0"/>
        <v>0</v>
      </c>
      <c r="D19" s="35"/>
      <c r="E19" s="17">
        <f t="shared" si="1"/>
        <v>0</v>
      </c>
      <c r="F19" s="15">
        <f t="shared" si="3"/>
        <v>0</v>
      </c>
      <c r="G19" s="18" t="e">
        <f t="shared" si="2"/>
        <v>#DIV/0!</v>
      </c>
      <c r="I19" s="17"/>
      <c r="J19" s="17"/>
      <c r="K19" s="42"/>
      <c r="P19" s="35"/>
    </row>
    <row r="20" spans="1:16" x14ac:dyDescent="0.4">
      <c r="A20" s="16">
        <f ca="1">合計!$A20</f>
        <v>45793</v>
      </c>
      <c r="B20" s="17"/>
      <c r="C20" s="17">
        <f t="shared" si="0"/>
        <v>0</v>
      </c>
      <c r="D20" s="35"/>
      <c r="E20" s="17">
        <f t="shared" si="1"/>
        <v>0</v>
      </c>
      <c r="F20" s="15">
        <f t="shared" si="3"/>
        <v>0</v>
      </c>
      <c r="G20" s="18" t="e">
        <f t="shared" si="2"/>
        <v>#DIV/0!</v>
      </c>
      <c r="I20" s="17"/>
      <c r="J20" s="17"/>
      <c r="K20" s="42"/>
      <c r="P20" s="35"/>
    </row>
    <row r="21" spans="1:16" x14ac:dyDescent="0.4">
      <c r="A21" s="16">
        <f ca="1">合計!$A21</f>
        <v>45794</v>
      </c>
      <c r="B21" s="17"/>
      <c r="C21" s="17">
        <f t="shared" si="0"/>
        <v>0</v>
      </c>
      <c r="D21" s="35"/>
      <c r="E21" s="17">
        <f t="shared" si="1"/>
        <v>0</v>
      </c>
      <c r="F21" s="15">
        <f t="shared" si="3"/>
        <v>0</v>
      </c>
      <c r="G21" s="18" t="e">
        <f t="shared" si="2"/>
        <v>#DIV/0!</v>
      </c>
      <c r="I21" s="17"/>
      <c r="J21" s="17"/>
      <c r="K21" s="42"/>
      <c r="P21" s="33"/>
    </row>
    <row r="22" spans="1:16" x14ac:dyDescent="0.4">
      <c r="A22" s="16">
        <f ca="1">合計!$A22</f>
        <v>45795</v>
      </c>
      <c r="B22" s="17"/>
      <c r="C22" s="17">
        <f t="shared" si="0"/>
        <v>0</v>
      </c>
      <c r="D22" s="35"/>
      <c r="E22" s="17">
        <f t="shared" si="1"/>
        <v>0</v>
      </c>
      <c r="F22" s="15">
        <f t="shared" si="3"/>
        <v>0</v>
      </c>
      <c r="G22" s="18" t="e">
        <f t="shared" si="2"/>
        <v>#DIV/0!</v>
      </c>
      <c r="I22" s="17"/>
      <c r="J22" s="17"/>
      <c r="K22" s="42"/>
      <c r="P22" s="33"/>
    </row>
    <row r="23" spans="1:16" x14ac:dyDescent="0.4">
      <c r="A23" s="16">
        <f ca="1">合計!$A23</f>
        <v>45796</v>
      </c>
      <c r="B23" s="17"/>
      <c r="C23" s="17">
        <f t="shared" si="0"/>
        <v>0</v>
      </c>
      <c r="D23" s="35"/>
      <c r="E23" s="17">
        <f t="shared" si="1"/>
        <v>0</v>
      </c>
      <c r="F23" s="15">
        <f t="shared" si="3"/>
        <v>0</v>
      </c>
      <c r="G23" s="18" t="e">
        <f t="shared" si="2"/>
        <v>#DIV/0!</v>
      </c>
      <c r="I23" s="17"/>
      <c r="J23" s="17"/>
      <c r="K23" s="42"/>
    </row>
    <row r="24" spans="1:16" x14ac:dyDescent="0.4">
      <c r="A24" s="16">
        <f ca="1">合計!$A24</f>
        <v>45797</v>
      </c>
      <c r="B24" s="17"/>
      <c r="C24" s="17">
        <f t="shared" si="0"/>
        <v>0</v>
      </c>
      <c r="D24" s="35"/>
      <c r="E24" s="17">
        <f t="shared" si="1"/>
        <v>0</v>
      </c>
      <c r="F24" s="15">
        <f t="shared" si="3"/>
        <v>0</v>
      </c>
      <c r="G24" s="18" t="e">
        <f t="shared" si="2"/>
        <v>#DIV/0!</v>
      </c>
      <c r="I24" s="17"/>
      <c r="J24" s="17"/>
      <c r="K24" s="52"/>
    </row>
    <row r="25" spans="1:16" x14ac:dyDescent="0.4">
      <c r="A25" s="16">
        <f ca="1">合計!$A25</f>
        <v>45798</v>
      </c>
      <c r="B25" s="17"/>
      <c r="C25" s="17">
        <f t="shared" si="0"/>
        <v>0</v>
      </c>
      <c r="D25" s="17"/>
      <c r="E25" s="17">
        <f t="shared" si="1"/>
        <v>0</v>
      </c>
      <c r="F25" s="15">
        <f t="shared" si="3"/>
        <v>0</v>
      </c>
      <c r="G25" s="18" t="e">
        <f t="shared" si="2"/>
        <v>#DIV/0!</v>
      </c>
      <c r="I25" s="17"/>
      <c r="J25" s="17"/>
      <c r="K25" s="52"/>
    </row>
    <row r="26" spans="1:16" x14ac:dyDescent="0.4">
      <c r="A26" s="16">
        <f ca="1">合計!$A26</f>
        <v>45799</v>
      </c>
      <c r="B26" s="17"/>
      <c r="C26" s="17">
        <f t="shared" si="0"/>
        <v>0</v>
      </c>
      <c r="D26" s="17"/>
      <c r="E26" s="17">
        <f t="shared" si="1"/>
        <v>0</v>
      </c>
      <c r="F26" s="15">
        <f t="shared" si="3"/>
        <v>0</v>
      </c>
      <c r="G26" s="18" t="e">
        <f t="shared" si="2"/>
        <v>#DIV/0!</v>
      </c>
      <c r="I26" s="17"/>
      <c r="J26" s="17"/>
      <c r="K26" s="52"/>
    </row>
    <row r="27" spans="1:16" x14ac:dyDescent="0.4">
      <c r="A27" s="16">
        <f ca="1">合計!$A27</f>
        <v>45800</v>
      </c>
      <c r="B27" s="17"/>
      <c r="C27" s="17">
        <f t="shared" si="0"/>
        <v>0</v>
      </c>
      <c r="D27" s="17"/>
      <c r="E27" s="17">
        <f t="shared" si="1"/>
        <v>0</v>
      </c>
      <c r="F27" s="15">
        <f t="shared" si="3"/>
        <v>0</v>
      </c>
      <c r="G27" s="18" t="e">
        <f t="shared" si="2"/>
        <v>#DIV/0!</v>
      </c>
      <c r="I27" s="17"/>
      <c r="J27" s="17"/>
      <c r="K27" s="52"/>
    </row>
    <row r="28" spans="1:16" x14ac:dyDescent="0.4">
      <c r="A28" s="16">
        <f ca="1">合計!$A28</f>
        <v>45801</v>
      </c>
      <c r="B28" s="17"/>
      <c r="C28" s="17">
        <f t="shared" si="0"/>
        <v>0</v>
      </c>
      <c r="D28" s="17"/>
      <c r="E28" s="17">
        <f t="shared" si="1"/>
        <v>0</v>
      </c>
      <c r="F28" s="15">
        <f t="shared" si="3"/>
        <v>0</v>
      </c>
      <c r="G28" s="18" t="e">
        <f t="shared" si="2"/>
        <v>#DIV/0!</v>
      </c>
      <c r="I28" s="17"/>
      <c r="J28" s="17"/>
      <c r="K28" s="52"/>
    </row>
    <row r="29" spans="1:16" x14ac:dyDescent="0.4">
      <c r="A29" s="16">
        <f ca="1">合計!$A29</f>
        <v>45802</v>
      </c>
      <c r="B29" s="17"/>
      <c r="C29" s="17">
        <f t="shared" si="0"/>
        <v>0</v>
      </c>
      <c r="D29" s="17"/>
      <c r="E29" s="17">
        <f t="shared" si="1"/>
        <v>0</v>
      </c>
      <c r="F29" s="15">
        <f t="shared" si="3"/>
        <v>0</v>
      </c>
      <c r="G29" s="18" t="e">
        <f t="shared" si="2"/>
        <v>#DIV/0!</v>
      </c>
      <c r="I29" s="17"/>
      <c r="J29" s="17"/>
      <c r="K29" s="52"/>
    </row>
    <row r="30" spans="1:16" x14ac:dyDescent="0.4">
      <c r="A30" s="16">
        <f ca="1">合計!$A30</f>
        <v>45803</v>
      </c>
      <c r="B30" s="17"/>
      <c r="C30" s="17">
        <f t="shared" si="0"/>
        <v>0</v>
      </c>
      <c r="D30" s="17"/>
      <c r="E30" s="17">
        <f>D30*1.1</f>
        <v>0</v>
      </c>
      <c r="F30" s="15">
        <f t="shared" si="3"/>
        <v>0</v>
      </c>
      <c r="G30" s="18" t="e">
        <f t="shared" si="2"/>
        <v>#DIV/0!</v>
      </c>
      <c r="I30" s="17"/>
      <c r="J30" s="17"/>
      <c r="K30" s="53"/>
    </row>
    <row r="31" spans="1:16" x14ac:dyDescent="0.4">
      <c r="A31" s="16">
        <f ca="1">合計!$A31</f>
        <v>45804</v>
      </c>
      <c r="B31" s="17"/>
      <c r="C31" s="17">
        <f t="shared" si="0"/>
        <v>0</v>
      </c>
      <c r="D31" s="35"/>
      <c r="E31" s="17">
        <f t="shared" si="1"/>
        <v>0</v>
      </c>
      <c r="F31" s="15">
        <f t="shared" si="3"/>
        <v>0</v>
      </c>
      <c r="G31" s="18" t="e">
        <f t="shared" si="2"/>
        <v>#DIV/0!</v>
      </c>
      <c r="I31" s="17"/>
      <c r="J31" s="17"/>
      <c r="K31" s="53"/>
    </row>
    <row r="32" spans="1:16" x14ac:dyDescent="0.4">
      <c r="A32" s="16">
        <f ca="1">合計!$A32</f>
        <v>45805</v>
      </c>
      <c r="B32" s="17"/>
      <c r="C32" s="17">
        <f t="shared" si="0"/>
        <v>0</v>
      </c>
      <c r="D32" s="35"/>
      <c r="E32" s="17">
        <f t="shared" si="1"/>
        <v>0</v>
      </c>
      <c r="F32" s="15">
        <f t="shared" si="3"/>
        <v>0</v>
      </c>
      <c r="G32" s="18" t="e">
        <f t="shared" si="2"/>
        <v>#DIV/0!</v>
      </c>
      <c r="I32" s="17"/>
      <c r="J32" s="17"/>
    </row>
    <row r="33" spans="1:10" x14ac:dyDescent="0.4">
      <c r="A33" s="16">
        <f ca="1">合計!$A33</f>
        <v>45806</v>
      </c>
      <c r="B33" s="17"/>
      <c r="C33" s="17">
        <f t="shared" si="0"/>
        <v>0</v>
      </c>
      <c r="D33" s="35"/>
      <c r="E33" s="17">
        <f t="shared" si="1"/>
        <v>0</v>
      </c>
      <c r="F33" s="15">
        <f t="shared" si="3"/>
        <v>0</v>
      </c>
      <c r="G33" s="18" t="e">
        <f t="shared" si="2"/>
        <v>#DIV/0!</v>
      </c>
      <c r="I33" s="17"/>
      <c r="J33" s="17"/>
    </row>
    <row r="34" spans="1:10" x14ac:dyDescent="0.4">
      <c r="A34" s="16">
        <f ca="1">合計!$A34</f>
        <v>45807</v>
      </c>
      <c r="B34" s="17"/>
      <c r="C34" s="17">
        <f>B34/1.1</f>
        <v>0</v>
      </c>
      <c r="D34" s="35"/>
      <c r="E34" s="17">
        <f t="shared" si="1"/>
        <v>0</v>
      </c>
      <c r="F34" s="15">
        <f t="shared" si="3"/>
        <v>0</v>
      </c>
      <c r="G34" s="18" t="e">
        <f>D34/C34</f>
        <v>#DIV/0!</v>
      </c>
      <c r="I34" s="17"/>
      <c r="J34" s="17"/>
    </row>
    <row r="35" spans="1:10" x14ac:dyDescent="0.4">
      <c r="A35" s="16">
        <f ca="1">合計!$A35</f>
        <v>45808</v>
      </c>
      <c r="B35" s="17"/>
      <c r="C35" s="17">
        <f>B35/1.1</f>
        <v>0</v>
      </c>
      <c r="D35" s="17"/>
      <c r="E35" s="17">
        <f t="shared" si="1"/>
        <v>0</v>
      </c>
      <c r="F35" s="15">
        <f t="shared" si="3"/>
        <v>0</v>
      </c>
      <c r="G35" s="18" t="e">
        <f t="shared" si="2"/>
        <v>#DIV/0!</v>
      </c>
      <c r="I35" s="17"/>
      <c r="J35" s="17"/>
    </row>
    <row r="36" spans="1:10" x14ac:dyDescent="0.4">
      <c r="A36" s="21" t="s">
        <v>24</v>
      </c>
      <c r="B36" s="17"/>
      <c r="C36" s="17">
        <f>B36/1.1</f>
        <v>0</v>
      </c>
      <c r="D36" s="17">
        <f>SUM(D5:D35)</f>
        <v>0</v>
      </c>
      <c r="E36" s="17">
        <f t="shared" ref="E36" si="4">IFERROR(D36*1.1,0)</f>
        <v>0</v>
      </c>
      <c r="F36" s="15">
        <f>SUM(F5:F35)</f>
        <v>0</v>
      </c>
      <c r="G36" s="18" t="e">
        <f>D36/C36</f>
        <v>#DIV/0!</v>
      </c>
    </row>
    <row r="37" spans="1:10" x14ac:dyDescent="0.4">
      <c r="B37" s="24"/>
    </row>
    <row r="45" spans="1:10" x14ac:dyDescent="0.4">
      <c r="C45" s="27"/>
      <c r="G45" s="27"/>
    </row>
    <row r="46" spans="1:10" x14ac:dyDescent="0.4">
      <c r="G46" s="27"/>
    </row>
    <row r="47" spans="1:10" x14ac:dyDescent="0.4">
      <c r="G47" s="27"/>
    </row>
    <row r="48" spans="1:10" x14ac:dyDescent="0.4">
      <c r="G48" s="27"/>
    </row>
    <row r="49" spans="7:7" x14ac:dyDescent="0.4">
      <c r="G49" s="27"/>
    </row>
    <row r="51" spans="7:7" x14ac:dyDescent="0.4">
      <c r="G51" s="27"/>
    </row>
    <row r="53" spans="7:7" x14ac:dyDescent="0.4">
      <c r="G53" s="27"/>
    </row>
    <row r="54" spans="7:7" x14ac:dyDescent="0.4">
      <c r="G54" s="27"/>
    </row>
    <row r="611" spans="2:2" x14ac:dyDescent="0.4">
      <c r="B611" s="1">
        <v>50249.941200000001</v>
      </c>
    </row>
    <row r="705" spans="2:2" x14ac:dyDescent="0.4">
      <c r="B705" s="1">
        <v>57796.784699999902</v>
      </c>
    </row>
    <row r="813" spans="2:2" x14ac:dyDescent="0.4">
      <c r="B813" s="1">
        <v>27442.368456</v>
      </c>
    </row>
  </sheetData>
  <mergeCells count="1">
    <mergeCell ref="B2:G2"/>
  </mergeCells>
  <phoneticPr fontId="3"/>
  <conditionalFormatting sqref="A5:A35">
    <cfRule type="expression" dxfId="35" priority="1">
      <formula>WEEKDAY(A5)=7</formula>
    </cfRule>
    <cfRule type="expression" dxfId="34" priority="2">
      <formula>WEEKDAY(A5)=1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P41"/>
  <sheetViews>
    <sheetView workbookViewId="0">
      <selection activeCell="G37" sqref="G37"/>
    </sheetView>
  </sheetViews>
  <sheetFormatPr defaultRowHeight="18.75" x14ac:dyDescent="0.4"/>
  <cols>
    <col min="3" max="3" width="10.375" bestFit="1" customWidth="1"/>
    <col min="4" max="4" width="13.875" bestFit="1" customWidth="1"/>
    <col min="5" max="5" width="10.375" bestFit="1" customWidth="1"/>
    <col min="7" max="7" width="13" bestFit="1" customWidth="1"/>
    <col min="9" max="9" width="11.5" bestFit="1" customWidth="1"/>
    <col min="11" max="11" width="10.375" bestFit="1" customWidth="1"/>
    <col min="13" max="13" width="10.5" customWidth="1"/>
  </cols>
  <sheetData>
    <row r="2" spans="2:16" ht="13.5" customHeight="1" x14ac:dyDescent="0.4">
      <c r="B2" s="2"/>
      <c r="C2" s="109" t="s">
        <v>83</v>
      </c>
      <c r="D2" s="110"/>
      <c r="E2" s="110"/>
      <c r="F2" s="110"/>
      <c r="G2" s="110"/>
      <c r="H2" s="111"/>
    </row>
    <row r="3" spans="2:16" ht="13.5" customHeight="1" x14ac:dyDescent="0.4">
      <c r="B3" s="2"/>
      <c r="C3" s="112"/>
      <c r="D3" s="113"/>
      <c r="E3" s="113"/>
      <c r="F3" s="113"/>
      <c r="G3" s="113"/>
      <c r="H3" s="114"/>
    </row>
    <row r="4" spans="2:16" x14ac:dyDescent="0.4">
      <c r="B4" s="2"/>
      <c r="C4" s="2" t="s">
        <v>38</v>
      </c>
      <c r="D4" s="14" t="s">
        <v>11</v>
      </c>
      <c r="E4" s="14" t="s">
        <v>12</v>
      </c>
      <c r="F4" s="2" t="s">
        <v>81</v>
      </c>
      <c r="G4" s="15" t="s">
        <v>27</v>
      </c>
      <c r="H4" s="2" t="s">
        <v>15</v>
      </c>
      <c r="O4" s="36"/>
    </row>
    <row r="5" spans="2:16" x14ac:dyDescent="0.4">
      <c r="B5" s="16">
        <f ca="1">合計!$A5</f>
        <v>45778</v>
      </c>
      <c r="C5" s="17">
        <f>IFERROR(一般その他!B5+アドネットワーク!C5+'9999_EC自社運用'!B5,0)</f>
        <v>0</v>
      </c>
      <c r="D5" s="17">
        <f>C5/1.1</f>
        <v>0</v>
      </c>
      <c r="E5" s="17">
        <f>一般その他!D5+アドネットワーク!E5+'9999_EC自社運用'!D5</f>
        <v>0</v>
      </c>
      <c r="F5" s="17">
        <f>E5*1.1</f>
        <v>0</v>
      </c>
      <c r="G5" s="15">
        <f>E5-D5</f>
        <v>0</v>
      </c>
      <c r="H5" s="18" t="e">
        <f t="shared" ref="H5:H34" si="0">E5/D5</f>
        <v>#DIV/0!</v>
      </c>
      <c r="O5" s="36"/>
      <c r="P5" s="36"/>
    </row>
    <row r="6" spans="2:16" x14ac:dyDescent="0.4">
      <c r="B6" s="16">
        <f ca="1">合計!$A6</f>
        <v>45779</v>
      </c>
      <c r="C6" s="17">
        <f>IFERROR(一般その他!B6+アドネットワーク!C6+'9999_EC自社運用'!B6,0)</f>
        <v>0</v>
      </c>
      <c r="D6" s="17">
        <f>C6/1.1</f>
        <v>0</v>
      </c>
      <c r="E6" s="17">
        <f>一般その他!D6+アドネットワーク!E6+'9999_EC自社運用'!D6</f>
        <v>0</v>
      </c>
      <c r="F6" s="17">
        <f>E6*1.1</f>
        <v>0</v>
      </c>
      <c r="G6" s="15">
        <f t="shared" ref="G6:G35" si="1">E6-D6</f>
        <v>0</v>
      </c>
      <c r="H6" s="18" t="e">
        <f t="shared" si="0"/>
        <v>#DIV/0!</v>
      </c>
      <c r="O6" s="36"/>
    </row>
    <row r="7" spans="2:16" x14ac:dyDescent="0.4">
      <c r="B7" s="16">
        <f ca="1">合計!$A7</f>
        <v>45780</v>
      </c>
      <c r="C7" s="17">
        <f>IFERROR(一般その他!B7+アドネットワーク!C7+'9999_EC自社運用'!B7,0)</f>
        <v>0</v>
      </c>
      <c r="D7" s="17">
        <f>C7/1.1</f>
        <v>0</v>
      </c>
      <c r="E7" s="17">
        <f>一般その他!D7+アドネットワーク!E7+'9999_EC自社運用'!D7</f>
        <v>0</v>
      </c>
      <c r="F7" s="17">
        <f>E7*1.1</f>
        <v>0</v>
      </c>
      <c r="G7" s="15">
        <f>E7-D7</f>
        <v>0</v>
      </c>
      <c r="H7" s="18" t="e">
        <f t="shared" si="0"/>
        <v>#DIV/0!</v>
      </c>
      <c r="O7" s="36"/>
    </row>
    <row r="8" spans="2:16" x14ac:dyDescent="0.4">
      <c r="B8" s="16">
        <f ca="1">合計!$A8</f>
        <v>45781</v>
      </c>
      <c r="C8" s="17">
        <f>IFERROR(一般その他!B8+アドネットワーク!C8+'9999_EC自社運用'!B8,0)</f>
        <v>0</v>
      </c>
      <c r="D8" s="17">
        <f>C8/1.1</f>
        <v>0</v>
      </c>
      <c r="E8" s="17">
        <f>一般その他!D8+アドネットワーク!E8+'9999_EC自社運用'!D8</f>
        <v>0</v>
      </c>
      <c r="F8" s="17">
        <f>E8*1.1</f>
        <v>0</v>
      </c>
      <c r="G8" s="15">
        <f>E8-D8</f>
        <v>0</v>
      </c>
      <c r="H8" s="18" t="e">
        <f t="shared" si="0"/>
        <v>#DIV/0!</v>
      </c>
      <c r="O8" s="36"/>
      <c r="P8" s="36"/>
    </row>
    <row r="9" spans="2:16" x14ac:dyDescent="0.4">
      <c r="B9" s="16">
        <f ca="1">合計!$A9</f>
        <v>45782</v>
      </c>
      <c r="C9" s="17">
        <f>IFERROR(一般その他!B9+アドネットワーク!C9+'9999_EC自社運用'!B9,0)</f>
        <v>0</v>
      </c>
      <c r="D9" s="17">
        <f t="shared" ref="D9:D34" si="2">C9/1.1</f>
        <v>0</v>
      </c>
      <c r="E9" s="17">
        <f>一般その他!D9+アドネットワーク!E9+'9999_EC自社運用'!D9</f>
        <v>0</v>
      </c>
      <c r="F9" s="17">
        <f t="shared" ref="F9:F35" si="3">E9*1.1</f>
        <v>0</v>
      </c>
      <c r="G9" s="15">
        <f t="shared" si="1"/>
        <v>0</v>
      </c>
      <c r="H9" s="18" t="e">
        <f t="shared" si="0"/>
        <v>#DIV/0!</v>
      </c>
      <c r="O9" s="36"/>
      <c r="P9" s="36"/>
    </row>
    <row r="10" spans="2:16" x14ac:dyDescent="0.4">
      <c r="B10" s="16">
        <f ca="1">合計!$A10</f>
        <v>45783</v>
      </c>
      <c r="C10" s="17">
        <f>IFERROR(一般その他!B10+アドネットワーク!C10+'9999_EC自社運用'!B10,0)</f>
        <v>0</v>
      </c>
      <c r="D10" s="17">
        <f t="shared" si="2"/>
        <v>0</v>
      </c>
      <c r="E10" s="17">
        <f>一般その他!D10+アドネットワーク!E10+'9999_EC自社運用'!D10</f>
        <v>0</v>
      </c>
      <c r="F10" s="17">
        <f t="shared" si="3"/>
        <v>0</v>
      </c>
      <c r="G10" s="15">
        <f t="shared" si="1"/>
        <v>0</v>
      </c>
      <c r="H10" s="18" t="e">
        <f t="shared" si="0"/>
        <v>#DIV/0!</v>
      </c>
      <c r="J10" s="35"/>
      <c r="O10" s="36"/>
      <c r="P10" s="36"/>
    </row>
    <row r="11" spans="2:16" x14ac:dyDescent="0.4">
      <c r="B11" s="16">
        <f ca="1">合計!$A11</f>
        <v>45784</v>
      </c>
      <c r="C11" s="17">
        <f>IFERROR(一般その他!B11+アドネットワーク!C11+'9999_EC自社運用'!B11,0)</f>
        <v>0</v>
      </c>
      <c r="D11" s="17">
        <f t="shared" si="2"/>
        <v>0</v>
      </c>
      <c r="E11" s="17">
        <f>一般その他!D11+アドネットワーク!E11+'9999_EC自社運用'!D11</f>
        <v>0</v>
      </c>
      <c r="F11" s="17">
        <f t="shared" si="3"/>
        <v>0</v>
      </c>
      <c r="G11" s="15">
        <f t="shared" si="1"/>
        <v>0</v>
      </c>
      <c r="H11" s="18" t="e">
        <f t="shared" si="0"/>
        <v>#DIV/0!</v>
      </c>
      <c r="J11" s="35"/>
      <c r="O11" s="36"/>
      <c r="P11" s="36"/>
    </row>
    <row r="12" spans="2:16" x14ac:dyDescent="0.4">
      <c r="B12" s="16">
        <f ca="1">合計!$A12</f>
        <v>45785</v>
      </c>
      <c r="C12" s="17">
        <f>IFERROR(一般その他!B12+アドネットワーク!C12+'9999_EC自社運用'!B12,0)</f>
        <v>0</v>
      </c>
      <c r="D12" s="17">
        <f t="shared" si="2"/>
        <v>0</v>
      </c>
      <c r="E12" s="17">
        <f>一般その他!D12+アドネットワーク!E12+'9999_EC自社運用'!D12</f>
        <v>0</v>
      </c>
      <c r="F12" s="17">
        <f t="shared" si="3"/>
        <v>0</v>
      </c>
      <c r="G12" s="15">
        <f t="shared" si="1"/>
        <v>0</v>
      </c>
      <c r="H12" s="18" t="e">
        <f t="shared" si="0"/>
        <v>#DIV/0!</v>
      </c>
      <c r="J12" s="35"/>
      <c r="O12" s="36"/>
      <c r="P12" s="36"/>
    </row>
    <row r="13" spans="2:16" x14ac:dyDescent="0.4">
      <c r="B13" s="16">
        <f ca="1">合計!$A13</f>
        <v>45786</v>
      </c>
      <c r="C13" s="17">
        <f>IFERROR(一般その他!B13+アドネットワーク!C13+'9999_EC自社運用'!B13,0)</f>
        <v>0</v>
      </c>
      <c r="D13" s="17">
        <f t="shared" si="2"/>
        <v>0</v>
      </c>
      <c r="E13" s="17">
        <f>一般その他!D13+アドネットワーク!E13+'9999_EC自社運用'!D13</f>
        <v>0</v>
      </c>
      <c r="F13" s="17">
        <f t="shared" si="3"/>
        <v>0</v>
      </c>
      <c r="G13" s="15">
        <f t="shared" si="1"/>
        <v>0</v>
      </c>
      <c r="H13" s="18" t="e">
        <f t="shared" si="0"/>
        <v>#DIV/0!</v>
      </c>
      <c r="O13" s="36"/>
    </row>
    <row r="14" spans="2:16" x14ac:dyDescent="0.4">
      <c r="B14" s="16">
        <f ca="1">合計!$A14</f>
        <v>45787</v>
      </c>
      <c r="C14" s="17">
        <f>IFERROR(一般その他!B14+アドネットワーク!C14+'9999_EC自社運用'!B14,0)</f>
        <v>0</v>
      </c>
      <c r="D14" s="17">
        <f t="shared" si="2"/>
        <v>0</v>
      </c>
      <c r="E14" s="17">
        <f>一般その他!D14+アドネットワーク!E14+'9999_EC自社運用'!D14</f>
        <v>0</v>
      </c>
      <c r="F14" s="17">
        <f t="shared" si="3"/>
        <v>0</v>
      </c>
      <c r="G14" s="15">
        <f t="shared" si="1"/>
        <v>0</v>
      </c>
      <c r="H14" s="18" t="e">
        <f t="shared" si="0"/>
        <v>#DIV/0!</v>
      </c>
    </row>
    <row r="15" spans="2:16" x14ac:dyDescent="0.4">
      <c r="B15" s="16">
        <f ca="1">合計!$A15</f>
        <v>45788</v>
      </c>
      <c r="C15" s="17">
        <f>IFERROR(一般その他!B15+アドネットワーク!C15+'9999_EC自社運用'!B15,0)</f>
        <v>0</v>
      </c>
      <c r="D15" s="17">
        <f t="shared" si="2"/>
        <v>0</v>
      </c>
      <c r="E15" s="17">
        <f>一般その他!D15+アドネットワーク!E15+'9999_EC自社運用'!D15</f>
        <v>0</v>
      </c>
      <c r="F15" s="17">
        <f t="shared" si="3"/>
        <v>0</v>
      </c>
      <c r="G15" s="15">
        <f t="shared" si="1"/>
        <v>0</v>
      </c>
      <c r="H15" s="18" t="e">
        <f t="shared" si="0"/>
        <v>#DIV/0!</v>
      </c>
    </row>
    <row r="16" spans="2:16" x14ac:dyDescent="0.4">
      <c r="B16" s="16">
        <f ca="1">合計!$A16</f>
        <v>45789</v>
      </c>
      <c r="C16" s="17">
        <f>IFERROR(一般その他!B16+アドネットワーク!C16+'9999_EC自社運用'!B16,0)</f>
        <v>0</v>
      </c>
      <c r="D16" s="17">
        <f t="shared" si="2"/>
        <v>0</v>
      </c>
      <c r="E16" s="17">
        <f>一般その他!D16+アドネットワーク!E16+'9999_EC自社運用'!D16</f>
        <v>0</v>
      </c>
      <c r="F16" s="17">
        <f t="shared" si="3"/>
        <v>0</v>
      </c>
      <c r="G16" s="15">
        <f t="shared" si="1"/>
        <v>0</v>
      </c>
      <c r="H16" s="18" t="e">
        <f t="shared" si="0"/>
        <v>#DIV/0!</v>
      </c>
    </row>
    <row r="17" spans="2:8" x14ac:dyDescent="0.4">
      <c r="B17" s="16">
        <f ca="1">合計!$A17</f>
        <v>45790</v>
      </c>
      <c r="C17" s="17">
        <f>IFERROR(一般その他!B17+アドネットワーク!C17+'9999_EC自社運用'!B17,0)</f>
        <v>0</v>
      </c>
      <c r="D17" s="17">
        <f t="shared" si="2"/>
        <v>0</v>
      </c>
      <c r="E17" s="17">
        <f>一般その他!D17+アドネットワーク!E17+'9999_EC自社運用'!D17</f>
        <v>0</v>
      </c>
      <c r="F17" s="17">
        <f t="shared" si="3"/>
        <v>0</v>
      </c>
      <c r="G17" s="15">
        <f t="shared" si="1"/>
        <v>0</v>
      </c>
      <c r="H17" s="18" t="e">
        <f t="shared" si="0"/>
        <v>#DIV/0!</v>
      </c>
    </row>
    <row r="18" spans="2:8" x14ac:dyDescent="0.4">
      <c r="B18" s="16">
        <f ca="1">合計!$A18</f>
        <v>45791</v>
      </c>
      <c r="C18" s="17">
        <f>IFERROR(一般その他!B18+アドネットワーク!C18+'9999_EC自社運用'!B18,0)</f>
        <v>0</v>
      </c>
      <c r="D18" s="17">
        <f t="shared" si="2"/>
        <v>0</v>
      </c>
      <c r="E18" s="17">
        <f>一般その他!D18+アドネットワーク!E18+'9999_EC自社運用'!D18</f>
        <v>0</v>
      </c>
      <c r="F18" s="17">
        <f t="shared" si="3"/>
        <v>0</v>
      </c>
      <c r="G18" s="15">
        <f t="shared" si="1"/>
        <v>0</v>
      </c>
      <c r="H18" s="18" t="e">
        <f t="shared" si="0"/>
        <v>#DIV/0!</v>
      </c>
    </row>
    <row r="19" spans="2:8" x14ac:dyDescent="0.4">
      <c r="B19" s="16">
        <f ca="1">合計!$A19</f>
        <v>45792</v>
      </c>
      <c r="C19" s="17">
        <f>IFERROR(一般その他!B19+アドネットワーク!C19+'9999_EC自社運用'!B19,0)</f>
        <v>0</v>
      </c>
      <c r="D19" s="17">
        <f t="shared" si="2"/>
        <v>0</v>
      </c>
      <c r="E19" s="17">
        <f>一般その他!D19+アドネットワーク!E19+'9999_EC自社運用'!D19</f>
        <v>0</v>
      </c>
      <c r="F19" s="17">
        <f t="shared" si="3"/>
        <v>0</v>
      </c>
      <c r="G19" s="15">
        <f t="shared" si="1"/>
        <v>0</v>
      </c>
      <c r="H19" s="18" t="e">
        <f t="shared" si="0"/>
        <v>#DIV/0!</v>
      </c>
    </row>
    <row r="20" spans="2:8" x14ac:dyDescent="0.4">
      <c r="B20" s="16">
        <f ca="1">合計!$A20</f>
        <v>45793</v>
      </c>
      <c r="C20" s="17">
        <f>IFERROR(一般その他!B20+アドネットワーク!C20+'9999_EC自社運用'!B20,0)</f>
        <v>0</v>
      </c>
      <c r="D20" s="17">
        <f t="shared" si="2"/>
        <v>0</v>
      </c>
      <c r="E20" s="17">
        <f>一般その他!D20+アドネットワーク!E20+'9999_EC自社運用'!D20</f>
        <v>0</v>
      </c>
      <c r="F20" s="17">
        <f t="shared" si="3"/>
        <v>0</v>
      </c>
      <c r="G20" s="15">
        <f t="shared" si="1"/>
        <v>0</v>
      </c>
      <c r="H20" s="18" t="e">
        <f t="shared" si="0"/>
        <v>#DIV/0!</v>
      </c>
    </row>
    <row r="21" spans="2:8" x14ac:dyDescent="0.4">
      <c r="B21" s="16">
        <f ca="1">合計!$A21</f>
        <v>45794</v>
      </c>
      <c r="C21" s="17">
        <f>IFERROR(一般その他!B21+アドネットワーク!C21+'9999_EC自社運用'!B21,0)</f>
        <v>0</v>
      </c>
      <c r="D21" s="17">
        <f t="shared" si="2"/>
        <v>0</v>
      </c>
      <c r="E21" s="17">
        <f>一般その他!D21+アドネットワーク!E21+'9999_EC自社運用'!D21</f>
        <v>0</v>
      </c>
      <c r="F21" s="17">
        <f t="shared" si="3"/>
        <v>0</v>
      </c>
      <c r="G21" s="15">
        <f t="shared" si="1"/>
        <v>0</v>
      </c>
      <c r="H21" s="18" t="e">
        <f t="shared" si="0"/>
        <v>#DIV/0!</v>
      </c>
    </row>
    <row r="22" spans="2:8" x14ac:dyDescent="0.4">
      <c r="B22" s="16">
        <f ca="1">合計!$A22</f>
        <v>45795</v>
      </c>
      <c r="C22" s="17">
        <f>IFERROR(一般その他!B22+アドネットワーク!C22+'9999_EC自社運用'!B22,0)</f>
        <v>0</v>
      </c>
      <c r="D22" s="17">
        <f t="shared" si="2"/>
        <v>0</v>
      </c>
      <c r="E22" s="17">
        <f>一般その他!D22+アドネットワーク!E22+'9999_EC自社運用'!D22</f>
        <v>0</v>
      </c>
      <c r="F22" s="17">
        <f t="shared" si="3"/>
        <v>0</v>
      </c>
      <c r="G22" s="15">
        <f t="shared" si="1"/>
        <v>0</v>
      </c>
      <c r="H22" s="18" t="e">
        <f t="shared" si="0"/>
        <v>#DIV/0!</v>
      </c>
    </row>
    <row r="23" spans="2:8" x14ac:dyDescent="0.4">
      <c r="B23" s="16">
        <f ca="1">合計!$A23</f>
        <v>45796</v>
      </c>
      <c r="C23" s="17">
        <f>IFERROR(一般その他!B23+アドネットワーク!C23+'9999_EC自社運用'!B23,0)</f>
        <v>0</v>
      </c>
      <c r="D23" s="17">
        <f t="shared" si="2"/>
        <v>0</v>
      </c>
      <c r="E23" s="17">
        <f>一般その他!D23+アドネットワーク!E23+'9999_EC自社運用'!D23</f>
        <v>0</v>
      </c>
      <c r="F23" s="17">
        <f t="shared" si="3"/>
        <v>0</v>
      </c>
      <c r="G23" s="15">
        <f t="shared" si="1"/>
        <v>0</v>
      </c>
      <c r="H23" s="18" t="e">
        <f t="shared" si="0"/>
        <v>#DIV/0!</v>
      </c>
    </row>
    <row r="24" spans="2:8" x14ac:dyDescent="0.4">
      <c r="B24" s="16">
        <f ca="1">合計!$A24</f>
        <v>45797</v>
      </c>
      <c r="C24" s="17">
        <f>IFERROR(一般その他!B24+アドネットワーク!C24+'9999_EC自社運用'!B24,0)</f>
        <v>0</v>
      </c>
      <c r="D24" s="17">
        <f t="shared" si="2"/>
        <v>0</v>
      </c>
      <c r="E24" s="17">
        <f>一般その他!D24+アドネットワーク!E24+'9999_EC自社運用'!D24</f>
        <v>0</v>
      </c>
      <c r="F24" s="17">
        <f t="shared" si="3"/>
        <v>0</v>
      </c>
      <c r="G24" s="15">
        <f t="shared" si="1"/>
        <v>0</v>
      </c>
      <c r="H24" s="18" t="e">
        <f t="shared" si="0"/>
        <v>#DIV/0!</v>
      </c>
    </row>
    <row r="25" spans="2:8" x14ac:dyDescent="0.4">
      <c r="B25" s="16">
        <f ca="1">合計!$A25</f>
        <v>45798</v>
      </c>
      <c r="C25" s="17">
        <f>IFERROR(一般その他!B25+アドネットワーク!C25+'9999_EC自社運用'!B25,0)</f>
        <v>0</v>
      </c>
      <c r="D25" s="17">
        <f t="shared" si="2"/>
        <v>0</v>
      </c>
      <c r="E25" s="17">
        <f>一般その他!D25+アドネットワーク!E25+'9999_EC自社運用'!D25</f>
        <v>0</v>
      </c>
      <c r="F25" s="17">
        <f t="shared" si="3"/>
        <v>0</v>
      </c>
      <c r="G25" s="15">
        <f t="shared" si="1"/>
        <v>0</v>
      </c>
      <c r="H25" s="18" t="e">
        <f t="shared" si="0"/>
        <v>#DIV/0!</v>
      </c>
    </row>
    <row r="26" spans="2:8" x14ac:dyDescent="0.4">
      <c r="B26" s="16">
        <f ca="1">合計!$A26</f>
        <v>45799</v>
      </c>
      <c r="C26" s="17">
        <f>IFERROR(一般その他!B26+アドネットワーク!C26+'9999_EC自社運用'!B26,0)</f>
        <v>0</v>
      </c>
      <c r="D26" s="17">
        <f t="shared" si="2"/>
        <v>0</v>
      </c>
      <c r="E26" s="17">
        <f>一般その他!D26+アドネットワーク!E26+'9999_EC自社運用'!D26</f>
        <v>0</v>
      </c>
      <c r="F26" s="17">
        <f t="shared" si="3"/>
        <v>0</v>
      </c>
      <c r="G26" s="15">
        <f t="shared" si="1"/>
        <v>0</v>
      </c>
      <c r="H26" s="18" t="e">
        <f t="shared" si="0"/>
        <v>#DIV/0!</v>
      </c>
    </row>
    <row r="27" spans="2:8" x14ac:dyDescent="0.4">
      <c r="B27" s="16">
        <f ca="1">合計!$A27</f>
        <v>45800</v>
      </c>
      <c r="C27" s="17">
        <f>IFERROR(一般その他!B27+アドネットワーク!C27+'9999_EC自社運用'!B27,0)</f>
        <v>0</v>
      </c>
      <c r="D27" s="17">
        <f t="shared" si="2"/>
        <v>0</v>
      </c>
      <c r="E27" s="17">
        <f>一般その他!D27+アドネットワーク!E27+'9999_EC自社運用'!D27</f>
        <v>0</v>
      </c>
      <c r="F27" s="17">
        <f t="shared" si="3"/>
        <v>0</v>
      </c>
      <c r="G27" s="15">
        <f t="shared" si="1"/>
        <v>0</v>
      </c>
      <c r="H27" s="18" t="e">
        <f t="shared" si="0"/>
        <v>#DIV/0!</v>
      </c>
    </row>
    <row r="28" spans="2:8" x14ac:dyDescent="0.4">
      <c r="B28" s="16">
        <f ca="1">合計!$A28</f>
        <v>45801</v>
      </c>
      <c r="C28" s="17">
        <f>IFERROR(一般その他!B28+アドネットワーク!C28+'9999_EC自社運用'!B28,0)</f>
        <v>0</v>
      </c>
      <c r="D28" s="17">
        <f t="shared" si="2"/>
        <v>0</v>
      </c>
      <c r="E28" s="17">
        <f>一般その他!D28+アドネットワーク!E28+'9999_EC自社運用'!D28</f>
        <v>0</v>
      </c>
      <c r="F28" s="17">
        <f t="shared" si="3"/>
        <v>0</v>
      </c>
      <c r="G28" s="15">
        <f t="shared" si="1"/>
        <v>0</v>
      </c>
      <c r="H28" s="18" t="e">
        <f t="shared" si="0"/>
        <v>#DIV/0!</v>
      </c>
    </row>
    <row r="29" spans="2:8" x14ac:dyDescent="0.4">
      <c r="B29" s="16">
        <f ca="1">合計!$A29</f>
        <v>45802</v>
      </c>
      <c r="C29" s="17">
        <f>IFERROR(一般その他!B29+アドネットワーク!C29+'9999_EC自社運用'!B29,0)</f>
        <v>0</v>
      </c>
      <c r="D29" s="17">
        <f t="shared" si="2"/>
        <v>0</v>
      </c>
      <c r="E29" s="17">
        <f>一般その他!D29+アドネットワーク!E29+'9999_EC自社運用'!D29</f>
        <v>0</v>
      </c>
      <c r="F29" s="17">
        <f t="shared" si="3"/>
        <v>0</v>
      </c>
      <c r="G29" s="15">
        <f t="shared" si="1"/>
        <v>0</v>
      </c>
      <c r="H29" s="18" t="e">
        <f t="shared" si="0"/>
        <v>#DIV/0!</v>
      </c>
    </row>
    <row r="30" spans="2:8" x14ac:dyDescent="0.4">
      <c r="B30" s="16">
        <f ca="1">合計!$A30</f>
        <v>45803</v>
      </c>
      <c r="C30" s="17">
        <f>IFERROR(一般その他!B30+アドネットワーク!C30+'9999_EC自社運用'!B30,0)</f>
        <v>0</v>
      </c>
      <c r="D30" s="17">
        <f t="shared" si="2"/>
        <v>0</v>
      </c>
      <c r="E30" s="17">
        <f>一般その他!D30+アドネットワーク!E30+'9999_EC自社運用'!D30</f>
        <v>0</v>
      </c>
      <c r="F30" s="17">
        <f t="shared" si="3"/>
        <v>0</v>
      </c>
      <c r="G30" s="15">
        <f t="shared" si="1"/>
        <v>0</v>
      </c>
      <c r="H30" s="18" t="e">
        <f t="shared" si="0"/>
        <v>#DIV/0!</v>
      </c>
    </row>
    <row r="31" spans="2:8" x14ac:dyDescent="0.4">
      <c r="B31" s="16">
        <f ca="1">合計!$A31</f>
        <v>45804</v>
      </c>
      <c r="C31" s="17">
        <f>IFERROR(一般その他!B31+アドネットワーク!C31+'9999_EC自社運用'!B31,0)</f>
        <v>0</v>
      </c>
      <c r="D31" s="17">
        <f t="shared" si="2"/>
        <v>0</v>
      </c>
      <c r="E31" s="17">
        <f>一般その他!D31+アドネットワーク!E31+'9999_EC自社運用'!D31</f>
        <v>0</v>
      </c>
      <c r="F31" s="17">
        <f t="shared" si="3"/>
        <v>0</v>
      </c>
      <c r="G31" s="15">
        <f t="shared" si="1"/>
        <v>0</v>
      </c>
      <c r="H31" s="18" t="e">
        <f t="shared" si="0"/>
        <v>#DIV/0!</v>
      </c>
    </row>
    <row r="32" spans="2:8" x14ac:dyDescent="0.4">
      <c r="B32" s="16">
        <f ca="1">合計!$A32</f>
        <v>45805</v>
      </c>
      <c r="C32" s="17">
        <f>IFERROR(一般その他!B32+アドネットワーク!C32+'9999_EC自社運用'!B32,0)</f>
        <v>0</v>
      </c>
      <c r="D32" s="17">
        <f t="shared" si="2"/>
        <v>0</v>
      </c>
      <c r="E32" s="17">
        <f>一般その他!D32+アドネットワーク!E32+'9999_EC自社運用'!D32</f>
        <v>0</v>
      </c>
      <c r="F32" s="17">
        <f t="shared" si="3"/>
        <v>0</v>
      </c>
      <c r="G32" s="15">
        <f t="shared" si="1"/>
        <v>0</v>
      </c>
      <c r="H32" s="18" t="e">
        <f t="shared" si="0"/>
        <v>#DIV/0!</v>
      </c>
    </row>
    <row r="33" spans="2:11" x14ac:dyDescent="0.4">
      <c r="B33" s="16">
        <f ca="1">合計!$A33</f>
        <v>45806</v>
      </c>
      <c r="C33" s="17">
        <f>IFERROR(一般その他!B33+アドネットワーク!C33+'9999_EC自社運用'!B33,0)</f>
        <v>0</v>
      </c>
      <c r="D33" s="17">
        <f t="shared" si="2"/>
        <v>0</v>
      </c>
      <c r="E33" s="17">
        <f>一般その他!D33+アドネットワーク!E33+'9999_EC自社運用'!D33</f>
        <v>0</v>
      </c>
      <c r="F33" s="17">
        <f t="shared" si="3"/>
        <v>0</v>
      </c>
      <c r="G33" s="15">
        <f t="shared" si="1"/>
        <v>0</v>
      </c>
      <c r="H33" s="18" t="e">
        <f t="shared" si="0"/>
        <v>#DIV/0!</v>
      </c>
    </row>
    <row r="34" spans="2:11" x14ac:dyDescent="0.4">
      <c r="B34" s="16">
        <f ca="1">合計!$A34</f>
        <v>45807</v>
      </c>
      <c r="C34" s="17">
        <f>IFERROR(一般その他!B34+アドネットワーク!C34+'9999_EC自社運用'!B34,0)</f>
        <v>0</v>
      </c>
      <c r="D34" s="17">
        <f t="shared" si="2"/>
        <v>0</v>
      </c>
      <c r="E34" s="17">
        <f>一般その他!D34+アドネットワーク!E34+'9999_EC自社運用'!D34</f>
        <v>0</v>
      </c>
      <c r="F34" s="17">
        <f t="shared" si="3"/>
        <v>0</v>
      </c>
      <c r="G34" s="15">
        <f t="shared" si="1"/>
        <v>0</v>
      </c>
      <c r="H34" s="18" t="e">
        <f t="shared" si="0"/>
        <v>#DIV/0!</v>
      </c>
    </row>
    <row r="35" spans="2:11" x14ac:dyDescent="0.4">
      <c r="B35" s="16">
        <f ca="1">合計!$A35</f>
        <v>45808</v>
      </c>
      <c r="C35" s="17">
        <f>IFERROR(一般その他!B35+アドネットワーク!C35+'9999_EC自社運用'!B35,0)</f>
        <v>0</v>
      </c>
      <c r="D35" s="17">
        <f>C35/1.1</f>
        <v>0</v>
      </c>
      <c r="E35" s="17">
        <f>一般その他!D35+アドネットワーク!E35+'9999_EC自社運用'!D35</f>
        <v>0</v>
      </c>
      <c r="F35" s="17">
        <f t="shared" si="3"/>
        <v>0</v>
      </c>
      <c r="G35" s="15">
        <f t="shared" si="1"/>
        <v>0</v>
      </c>
      <c r="H35" s="18" t="e">
        <f>E35/D35</f>
        <v>#DIV/0!</v>
      </c>
    </row>
    <row r="36" spans="2:11" x14ac:dyDescent="0.4">
      <c r="B36" s="16" t="s">
        <v>84</v>
      </c>
      <c r="C36" s="17">
        <f>SUM(C5:C35)</f>
        <v>0</v>
      </c>
      <c r="D36" s="17">
        <f>C36/1.1</f>
        <v>0</v>
      </c>
      <c r="E36" s="17">
        <f>SUMIF(E5:E35,"&lt;&gt;#VALUE!")</f>
        <v>0</v>
      </c>
      <c r="F36" s="17">
        <f>E36*1.1</f>
        <v>0</v>
      </c>
      <c r="G36" s="15">
        <f>SUMIF(G5:G35,"&lt;&gt;#VALUE!")</f>
        <v>0</v>
      </c>
      <c r="H36" s="18" t="e">
        <f>E36/D36</f>
        <v>#DIV/0!</v>
      </c>
    </row>
    <row r="37" spans="2:11" x14ac:dyDescent="0.4">
      <c r="D37" s="44">
        <f>D35-アドネットワーク!D36</f>
        <v>0</v>
      </c>
      <c r="E37" s="44">
        <f>E35-アドネットワーク!E36</f>
        <v>0</v>
      </c>
      <c r="G37" s="44">
        <f>E37-D37</f>
        <v>0</v>
      </c>
      <c r="H37" s="18" t="e">
        <f>E37/D37</f>
        <v>#DIV/0!</v>
      </c>
    </row>
    <row r="39" spans="2:11" x14ac:dyDescent="0.4">
      <c r="G39" s="40"/>
      <c r="I39" s="40"/>
    </row>
    <row r="41" spans="2:11" x14ac:dyDescent="0.4">
      <c r="I41" s="40"/>
      <c r="K41" s="40"/>
    </row>
  </sheetData>
  <mergeCells count="1">
    <mergeCell ref="C2:H3"/>
  </mergeCells>
  <phoneticPr fontId="3"/>
  <conditionalFormatting sqref="B36">
    <cfRule type="expression" dxfId="33" priority="3">
      <formula>WEEKDAY(B36)=7</formula>
    </cfRule>
    <cfRule type="expression" dxfId="32" priority="4">
      <formula>WEEKDAY(B36)=1</formula>
    </cfRule>
  </conditionalFormatting>
  <conditionalFormatting sqref="B5:B35">
    <cfRule type="expression" dxfId="31" priority="1">
      <formula>WEEKDAY(B5)=7</formula>
    </cfRule>
    <cfRule type="expression" dxfId="30" priority="2">
      <formula>WEEKDAY(B5)=1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EL54"/>
  <sheetViews>
    <sheetView workbookViewId="0">
      <selection activeCell="A2" sqref="A2"/>
    </sheetView>
  </sheetViews>
  <sheetFormatPr defaultRowHeight="18.75" x14ac:dyDescent="0.4"/>
  <cols>
    <col min="1" max="1" width="10" style="1" bestFit="1" customWidth="1"/>
    <col min="2" max="2" width="10.375" style="1" bestFit="1" customWidth="1"/>
    <col min="3" max="3" width="13.875" style="1" customWidth="1"/>
    <col min="4" max="5" width="9.875" style="1" bestFit="1" customWidth="1"/>
    <col min="6" max="6" width="10.625" style="1" bestFit="1" customWidth="1"/>
    <col min="7" max="7" width="8.125" style="1" bestFit="1" customWidth="1"/>
    <col min="9" max="11" width="10.25" customWidth="1"/>
    <col min="13" max="13" width="18.375" bestFit="1" customWidth="1"/>
    <col min="14" max="14" width="15.125" bestFit="1" customWidth="1"/>
    <col min="15" max="15" width="12.625" bestFit="1" customWidth="1"/>
    <col min="16" max="16" width="11.5" bestFit="1" customWidth="1"/>
    <col min="18" max="18" width="9.875" bestFit="1" customWidth="1"/>
    <col min="19" max="19" width="9" hidden="1" customWidth="1"/>
    <col min="20" max="20" width="10.375" hidden="1" customWidth="1"/>
    <col min="21" max="21" width="13.125" hidden="1" customWidth="1"/>
    <col min="22" max="22" width="2.375" hidden="1" customWidth="1"/>
    <col min="23" max="23" width="10.375" hidden="1" customWidth="1"/>
    <col min="24" max="24" width="9" hidden="1" customWidth="1"/>
    <col min="25" max="25" width="2.375" hidden="1" customWidth="1"/>
    <col min="26" max="27" width="9" hidden="1" customWidth="1"/>
    <col min="28" max="28" width="2.375" hidden="1" customWidth="1"/>
    <col min="29" max="30" width="9" hidden="1" customWidth="1"/>
    <col min="31" max="31" width="2.375" hidden="1" customWidth="1"/>
    <col min="32" max="33" width="9" hidden="1" customWidth="1"/>
    <col min="34" max="34" width="2.375" hidden="1" customWidth="1"/>
    <col min="35" max="36" width="9" hidden="1" customWidth="1"/>
    <col min="37" max="37" width="1.75" hidden="1" customWidth="1"/>
    <col min="38" max="39" width="9" hidden="1" customWidth="1"/>
    <col min="40" max="40" width="1.75" hidden="1" customWidth="1"/>
    <col min="41" max="42" width="9" hidden="1" customWidth="1"/>
    <col min="43" max="43" width="1.75" hidden="1" customWidth="1"/>
    <col min="44" max="45" width="9" hidden="1" customWidth="1"/>
    <col min="46" max="46" width="1.75" hidden="1" customWidth="1"/>
    <col min="47" max="48" width="9" hidden="1" customWidth="1"/>
    <col min="49" max="49" width="1.75" hidden="1" customWidth="1"/>
    <col min="50" max="51" width="9" hidden="1" customWidth="1"/>
    <col min="52" max="52" width="1.75" hidden="1" customWidth="1"/>
    <col min="53" max="54" width="9" hidden="1" customWidth="1"/>
    <col min="55" max="55" width="1.75" hidden="1" customWidth="1"/>
    <col min="56" max="57" width="9" hidden="1" customWidth="1"/>
    <col min="58" max="58" width="1.75" hidden="1" customWidth="1"/>
    <col min="59" max="60" width="9" hidden="1" customWidth="1"/>
    <col min="61" max="61" width="1.75" hidden="1" customWidth="1"/>
    <col min="62" max="63" width="9" hidden="1" customWidth="1"/>
    <col min="64" max="64" width="1.75" hidden="1" customWidth="1"/>
    <col min="65" max="66" width="9" hidden="1" customWidth="1"/>
    <col min="67" max="67" width="1.75" hidden="1" customWidth="1"/>
    <col min="68" max="69" width="9" hidden="1" customWidth="1"/>
    <col min="70" max="70" width="1.75" hidden="1" customWidth="1"/>
    <col min="71" max="72" width="9" hidden="1" customWidth="1"/>
    <col min="73" max="73" width="1.75" hidden="1" customWidth="1"/>
    <col min="74" max="75" width="9" hidden="1" customWidth="1"/>
    <col min="76" max="76" width="1.75" hidden="1" customWidth="1"/>
    <col min="77" max="78" width="9" hidden="1" customWidth="1"/>
    <col min="79" max="79" width="1.75" hidden="1" customWidth="1"/>
    <col min="80" max="81" width="9" hidden="1" customWidth="1"/>
    <col min="82" max="82" width="1.75" hidden="1" customWidth="1"/>
    <col min="83" max="84" width="9" hidden="1" customWidth="1"/>
    <col min="85" max="85" width="1.75" hidden="1" customWidth="1"/>
    <col min="86" max="87" width="9" hidden="1" customWidth="1"/>
    <col min="88" max="88" width="1.75" hidden="1" customWidth="1"/>
    <col min="89" max="90" width="9" hidden="1" customWidth="1"/>
    <col min="91" max="91" width="1.75" hidden="1" customWidth="1"/>
    <col min="92" max="93" width="9" hidden="1" customWidth="1"/>
    <col min="94" max="94" width="1.75" hidden="1" customWidth="1"/>
    <col min="95" max="96" width="9" hidden="1" customWidth="1"/>
    <col min="97" max="97" width="1.75" hidden="1" customWidth="1"/>
    <col min="98" max="98" width="9.25" hidden="1" customWidth="1"/>
    <col min="99" max="99" width="9" hidden="1" customWidth="1"/>
    <col min="100" max="100" width="1.75" hidden="1" customWidth="1"/>
    <col min="101" max="102" width="9" hidden="1" customWidth="1"/>
    <col min="103" max="103" width="1.75" hidden="1" customWidth="1"/>
    <col min="104" max="105" width="9" hidden="1" customWidth="1"/>
    <col min="106" max="106" width="1.75" hidden="1" customWidth="1"/>
    <col min="107" max="108" width="9" hidden="1" customWidth="1"/>
    <col min="109" max="109" width="1.75" hidden="1" customWidth="1"/>
    <col min="110" max="111" width="9" hidden="1" customWidth="1"/>
    <col min="112" max="112" width="1.75" hidden="1" customWidth="1"/>
    <col min="113" max="114" width="9" hidden="1" customWidth="1"/>
    <col min="115" max="115" width="1.75" hidden="1" customWidth="1"/>
    <col min="116" max="117" width="9" hidden="1" customWidth="1"/>
    <col min="118" max="118" width="2" hidden="1" customWidth="1"/>
    <col min="119" max="120" width="9" hidden="1" customWidth="1"/>
    <col min="121" max="121" width="2" hidden="1" customWidth="1"/>
    <col min="122" max="123" width="9" hidden="1" customWidth="1"/>
    <col min="124" max="124" width="2" hidden="1" customWidth="1"/>
    <col min="125" max="126" width="9" hidden="1" customWidth="1"/>
    <col min="127" max="127" width="2" hidden="1" customWidth="1"/>
    <col min="128" max="129" width="9" hidden="1" customWidth="1"/>
    <col min="130" max="130" width="2" hidden="1" customWidth="1"/>
    <col min="131" max="132" width="9" hidden="1" customWidth="1"/>
    <col min="133" max="133" width="2" hidden="1" customWidth="1"/>
    <col min="134" max="135" width="9" hidden="1" customWidth="1"/>
    <col min="136" max="136" width="2" hidden="1" customWidth="1"/>
    <col min="137" max="138" width="9" hidden="1" customWidth="1"/>
    <col min="139" max="139" width="11" bestFit="1" customWidth="1"/>
    <col min="140" max="140" width="11.5" bestFit="1" customWidth="1"/>
    <col min="142" max="142" width="9.125" bestFit="1" customWidth="1"/>
    <col min="143" max="143" width="13" bestFit="1" customWidth="1"/>
  </cols>
  <sheetData>
    <row r="2" spans="1:140" x14ac:dyDescent="0.4">
      <c r="A2" s="2"/>
      <c r="B2" s="108"/>
      <c r="C2" s="108"/>
      <c r="D2" s="108"/>
      <c r="E2" s="108"/>
      <c r="F2" s="108"/>
      <c r="G2" s="108"/>
    </row>
    <row r="3" spans="1:140" x14ac:dyDescent="0.4">
      <c r="A3" s="2"/>
      <c r="B3" s="9"/>
      <c r="C3" s="9"/>
      <c r="D3" s="9"/>
      <c r="E3" s="9"/>
      <c r="F3" s="9"/>
      <c r="G3" s="10"/>
      <c r="J3" t="s">
        <v>25</v>
      </c>
      <c r="M3" t="s">
        <v>39</v>
      </c>
      <c r="N3" t="s">
        <v>40</v>
      </c>
      <c r="T3" s="115" t="s">
        <v>41</v>
      </c>
      <c r="U3" s="115"/>
      <c r="V3" s="38"/>
      <c r="W3" s="115" t="s">
        <v>42</v>
      </c>
      <c r="X3" s="115"/>
      <c r="Y3" s="38"/>
      <c r="Z3" s="103" t="s">
        <v>43</v>
      </c>
      <c r="AA3" s="104"/>
      <c r="AB3" s="38"/>
      <c r="AC3" s="115" t="s">
        <v>44</v>
      </c>
      <c r="AD3" s="115"/>
      <c r="AE3" s="38"/>
      <c r="AF3" s="115" t="s">
        <v>45</v>
      </c>
      <c r="AG3" s="115"/>
      <c r="AH3" s="38"/>
      <c r="AI3" s="115" t="s">
        <v>46</v>
      </c>
      <c r="AJ3" s="115"/>
      <c r="AK3" s="38"/>
      <c r="AL3" s="103" t="s">
        <v>47</v>
      </c>
      <c r="AM3" s="104"/>
      <c r="AN3" s="38"/>
      <c r="AO3" s="103" t="s">
        <v>48</v>
      </c>
      <c r="AP3" s="104"/>
      <c r="AQ3" s="38"/>
      <c r="AR3" s="103" t="s">
        <v>49</v>
      </c>
      <c r="AS3" s="104"/>
      <c r="AT3" s="38"/>
      <c r="AU3" s="103" t="s">
        <v>50</v>
      </c>
      <c r="AV3" s="104"/>
      <c r="AW3" s="38"/>
      <c r="AX3" s="103" t="s">
        <v>51</v>
      </c>
      <c r="AY3" s="104"/>
      <c r="AZ3" s="38"/>
      <c r="BA3" s="103" t="s">
        <v>52</v>
      </c>
      <c r="BB3" s="104"/>
      <c r="BC3" s="38"/>
      <c r="BD3" s="103" t="s">
        <v>53</v>
      </c>
      <c r="BE3" s="104"/>
      <c r="BF3" s="38"/>
      <c r="BG3" s="103" t="s">
        <v>54</v>
      </c>
      <c r="BH3" s="104"/>
      <c r="BI3" s="38"/>
      <c r="BJ3" s="103" t="s">
        <v>55</v>
      </c>
      <c r="BK3" s="104"/>
      <c r="BL3" s="38"/>
      <c r="BM3" s="103" t="s">
        <v>56</v>
      </c>
      <c r="BN3" s="104"/>
      <c r="BO3" s="38"/>
      <c r="BP3" s="103" t="s">
        <v>57</v>
      </c>
      <c r="BQ3" s="104"/>
      <c r="BR3" s="38"/>
      <c r="BS3" s="103" t="s">
        <v>58</v>
      </c>
      <c r="BT3" s="104"/>
      <c r="BU3" s="38"/>
      <c r="BV3" s="103" t="s">
        <v>59</v>
      </c>
      <c r="BW3" s="104"/>
      <c r="BX3" s="38"/>
      <c r="BY3" s="103" t="s">
        <v>60</v>
      </c>
      <c r="BZ3" s="104"/>
      <c r="CA3" s="38"/>
      <c r="CB3" s="103" t="s">
        <v>61</v>
      </c>
      <c r="CC3" s="104"/>
      <c r="CD3" s="38"/>
      <c r="CE3" s="103" t="s">
        <v>62</v>
      </c>
      <c r="CF3" s="104"/>
      <c r="CG3" s="38"/>
      <c r="CH3" s="103" t="s">
        <v>63</v>
      </c>
      <c r="CI3" s="104"/>
      <c r="CJ3" s="38"/>
      <c r="CK3" s="103" t="s">
        <v>64</v>
      </c>
      <c r="CL3" s="104"/>
      <c r="CM3" s="38"/>
      <c r="CN3" s="103" t="s">
        <v>65</v>
      </c>
      <c r="CO3" s="104"/>
      <c r="CP3" s="38"/>
      <c r="CQ3" s="103" t="s">
        <v>66</v>
      </c>
      <c r="CR3" s="104"/>
      <c r="CS3" s="38"/>
      <c r="CT3" s="103" t="s">
        <v>67</v>
      </c>
      <c r="CU3" s="104"/>
      <c r="CV3" s="38"/>
      <c r="CW3" s="103" t="s">
        <v>68</v>
      </c>
      <c r="CX3" s="104"/>
      <c r="CY3" s="38"/>
      <c r="CZ3" s="103" t="s">
        <v>69</v>
      </c>
      <c r="DA3" s="104"/>
      <c r="DB3" s="38"/>
      <c r="DC3" s="103" t="s">
        <v>70</v>
      </c>
      <c r="DD3" s="104"/>
      <c r="DE3" s="38"/>
      <c r="DF3" s="103" t="s">
        <v>71</v>
      </c>
      <c r="DG3" s="104"/>
      <c r="DH3" s="38"/>
      <c r="DI3" s="103" t="s">
        <v>72</v>
      </c>
      <c r="DJ3" s="104"/>
      <c r="DK3" s="38"/>
      <c r="DL3" s="103" t="s">
        <v>73</v>
      </c>
      <c r="DM3" s="104"/>
      <c r="DN3" s="38"/>
      <c r="DO3" s="103" t="s">
        <v>74</v>
      </c>
      <c r="DP3" s="104"/>
      <c r="DQ3" s="38"/>
      <c r="DR3" s="103" t="s">
        <v>75</v>
      </c>
      <c r="DS3" s="104"/>
      <c r="DT3" s="38"/>
      <c r="DU3" s="103" t="s">
        <v>76</v>
      </c>
      <c r="DV3" s="104"/>
      <c r="DW3" s="38"/>
      <c r="DX3" s="103" t="s">
        <v>77</v>
      </c>
      <c r="DY3" s="104"/>
      <c r="DZ3" s="38"/>
      <c r="EA3" s="103" t="s">
        <v>78</v>
      </c>
      <c r="EB3" s="104"/>
      <c r="EC3" s="38"/>
      <c r="ED3" s="103" t="s">
        <v>79</v>
      </c>
      <c r="EE3" s="104"/>
      <c r="EF3" s="38"/>
      <c r="EG3" s="103" t="s">
        <v>80</v>
      </c>
      <c r="EH3" s="104"/>
    </row>
    <row r="4" spans="1:140" ht="19.5" thickBot="1" x14ac:dyDescent="0.45">
      <c r="A4" s="2"/>
      <c r="B4" s="2" t="s">
        <v>38</v>
      </c>
      <c r="C4" s="14" t="s">
        <v>11</v>
      </c>
      <c r="D4" s="14" t="s">
        <v>12</v>
      </c>
      <c r="E4" s="2" t="s">
        <v>81</v>
      </c>
      <c r="F4" s="15" t="s">
        <v>14</v>
      </c>
      <c r="G4" s="2" t="s">
        <v>15</v>
      </c>
      <c r="J4" s="36" t="s">
        <v>28</v>
      </c>
      <c r="K4" s="36" t="s">
        <v>29</v>
      </c>
      <c r="M4" t="s">
        <v>82</v>
      </c>
      <c r="S4" s="2"/>
      <c r="T4" s="2"/>
      <c r="U4" s="39"/>
      <c r="V4" s="2"/>
      <c r="W4" s="2"/>
      <c r="X4" s="39"/>
      <c r="Y4" s="2"/>
      <c r="Z4" s="2"/>
      <c r="AA4" s="39"/>
      <c r="AB4" s="2"/>
      <c r="AC4" s="2"/>
      <c r="AD4" s="39"/>
      <c r="AE4" s="2"/>
      <c r="AF4" s="2"/>
      <c r="AG4" s="39"/>
      <c r="AH4" s="2"/>
      <c r="AI4" s="2"/>
      <c r="AJ4" s="39"/>
      <c r="AK4" s="2"/>
      <c r="AL4" s="2"/>
      <c r="AM4" s="39"/>
      <c r="AN4" s="2"/>
      <c r="AO4" s="2"/>
      <c r="AP4" s="39"/>
      <c r="AQ4" s="2"/>
      <c r="AR4" s="2"/>
      <c r="AS4" s="39"/>
      <c r="AT4" s="2"/>
      <c r="AU4" s="2"/>
      <c r="AV4" s="39"/>
      <c r="AW4" s="2"/>
      <c r="AX4" s="2"/>
      <c r="AY4" s="39"/>
      <c r="AZ4" s="2"/>
      <c r="BA4" s="2"/>
      <c r="BB4" s="39"/>
      <c r="BC4" s="2"/>
      <c r="BD4" s="2"/>
      <c r="BE4" s="39"/>
      <c r="BF4" s="2"/>
      <c r="BG4" s="2"/>
      <c r="BH4" s="39"/>
      <c r="BI4" s="2"/>
      <c r="BJ4" s="2"/>
      <c r="BK4" s="39"/>
      <c r="BL4" s="2"/>
      <c r="BM4" s="2"/>
      <c r="BN4" s="39"/>
      <c r="BO4" s="2"/>
      <c r="BP4" s="2"/>
      <c r="BQ4" s="39"/>
      <c r="BR4" s="2"/>
      <c r="BS4" s="2"/>
      <c r="BT4" s="39"/>
      <c r="BU4" s="2"/>
      <c r="BV4" s="2"/>
      <c r="BW4" s="39"/>
      <c r="BX4" s="2"/>
      <c r="BY4" s="2"/>
      <c r="BZ4" s="39"/>
      <c r="CA4" s="2"/>
      <c r="CB4" s="2"/>
      <c r="CC4" s="39"/>
      <c r="CD4" s="2"/>
      <c r="CE4" s="2"/>
      <c r="CF4" s="39"/>
      <c r="CG4" s="2"/>
      <c r="CH4" s="2"/>
      <c r="CI4" s="39"/>
      <c r="CJ4" s="2"/>
      <c r="CK4" s="2"/>
      <c r="CL4" s="39"/>
      <c r="CM4" s="2"/>
      <c r="CN4" s="2"/>
      <c r="CO4" s="39"/>
      <c r="CP4" s="2"/>
      <c r="CQ4" s="2"/>
      <c r="CR4" s="39"/>
      <c r="CS4" s="2"/>
      <c r="CT4" s="2"/>
      <c r="CU4" s="39"/>
      <c r="CV4" s="2"/>
      <c r="CW4" s="2"/>
      <c r="CX4" s="39"/>
      <c r="CY4" s="2"/>
      <c r="CZ4" s="2"/>
      <c r="DA4" s="39"/>
      <c r="DB4" s="2"/>
      <c r="DC4" s="2"/>
      <c r="DD4" s="39"/>
      <c r="DE4" s="2"/>
      <c r="DF4" s="2"/>
      <c r="DG4" s="39"/>
      <c r="DH4" s="2"/>
      <c r="DI4" s="2"/>
      <c r="DJ4" s="39"/>
      <c r="DK4" s="2"/>
      <c r="DL4" s="2"/>
      <c r="DM4" s="39"/>
      <c r="DN4" s="2"/>
      <c r="DO4" s="2"/>
      <c r="DP4" s="39"/>
      <c r="DQ4" s="2"/>
      <c r="DR4" s="2"/>
      <c r="DS4" s="39"/>
      <c r="DT4" s="2"/>
      <c r="DU4" s="2"/>
      <c r="DV4" s="39"/>
      <c r="DW4" s="2"/>
      <c r="DX4" s="2"/>
      <c r="DY4" s="39"/>
      <c r="DZ4" s="2"/>
      <c r="EA4" s="2"/>
      <c r="EB4" s="39"/>
      <c r="EC4" s="2"/>
      <c r="ED4" s="2"/>
      <c r="EE4" s="39"/>
      <c r="EF4" s="2"/>
      <c r="EG4" s="2"/>
    </row>
    <row r="5" spans="1:140" ht="19.5" thickBot="1" x14ac:dyDescent="0.25">
      <c r="A5" s="16">
        <f ca="1">合計!$A5</f>
        <v>45778</v>
      </c>
      <c r="B5" s="17" t="str">
        <f>IF(K5="","",K5)</f>
        <v/>
      </c>
      <c r="C5" s="17">
        <f t="shared" ref="C5:C35" si="0">IFERROR(B5*92.597%,0)</f>
        <v>0</v>
      </c>
      <c r="D5" s="17">
        <f>IFERROR(E5*92.597%+ROUNDUP(M5,1)+ROUNDUP(N5,1)+ROUNDUP(O5,1)+ROUNDUP(P5,1),0)</f>
        <v>0</v>
      </c>
      <c r="E5" s="17" t="str">
        <f t="shared" ref="E5:E36" si="1">IF(J5="","",J5)</f>
        <v/>
      </c>
      <c r="F5" s="15">
        <f>D5-C5</f>
        <v>0</v>
      </c>
      <c r="G5" s="18" t="e">
        <f t="shared" ref="G5:G35" si="2">D5/B5</f>
        <v>#VALUE!</v>
      </c>
      <c r="I5" s="29">
        <f t="shared" ref="I5:I35" ca="1" si="3">A5</f>
        <v>45778</v>
      </c>
      <c r="J5" s="34"/>
      <c r="K5" s="34"/>
      <c r="L5" s="36"/>
      <c r="M5" s="62"/>
      <c r="N5" s="35"/>
      <c r="O5" s="57"/>
      <c r="P5" s="40"/>
      <c r="S5" s="32"/>
      <c r="T5" s="32"/>
      <c r="U5" s="41"/>
      <c r="V5" s="32"/>
      <c r="W5" s="32"/>
      <c r="X5" s="41"/>
      <c r="Y5" s="32"/>
      <c r="Z5" s="32"/>
      <c r="AA5" s="41"/>
      <c r="AB5" s="32"/>
      <c r="AC5" s="32"/>
      <c r="AD5" s="41"/>
      <c r="AE5" s="32"/>
      <c r="AF5" s="32"/>
      <c r="AG5" s="41"/>
      <c r="AH5" s="32"/>
      <c r="AI5" s="32"/>
      <c r="AJ5" s="41"/>
      <c r="AK5" s="32"/>
      <c r="AL5" s="32"/>
      <c r="AM5" s="41"/>
      <c r="AN5" s="32"/>
      <c r="AO5" s="32"/>
      <c r="AP5" s="41"/>
      <c r="AQ5" s="32"/>
      <c r="AR5" s="32"/>
      <c r="AS5" s="41"/>
      <c r="AT5" s="32"/>
      <c r="AU5" s="32"/>
      <c r="AV5" s="41"/>
      <c r="AW5" s="32"/>
      <c r="AX5" s="32"/>
      <c r="AY5" s="41"/>
      <c r="AZ5" s="32"/>
      <c r="BA5" s="32"/>
      <c r="BB5" s="41"/>
      <c r="BC5" s="32"/>
      <c r="BD5" s="32"/>
      <c r="BE5" s="41"/>
      <c r="BF5" s="32"/>
      <c r="BG5" s="32"/>
      <c r="BH5" s="41"/>
      <c r="BI5" s="32"/>
      <c r="BJ5" s="32"/>
      <c r="BK5" s="41"/>
      <c r="BL5" s="32"/>
      <c r="BM5" s="32"/>
      <c r="BN5" s="41"/>
      <c r="BO5" s="32"/>
      <c r="BP5" s="32"/>
      <c r="BQ5" s="41"/>
      <c r="BR5" s="32"/>
      <c r="BS5" s="32"/>
      <c r="BT5" s="41"/>
      <c r="BU5" s="32"/>
      <c r="BV5" s="32"/>
      <c r="BW5" s="41"/>
      <c r="BX5" s="32"/>
      <c r="BY5" s="32"/>
      <c r="BZ5" s="41"/>
      <c r="CA5" s="32"/>
      <c r="CB5" s="32"/>
      <c r="CC5" s="41"/>
      <c r="CD5" s="32"/>
      <c r="CE5" s="32"/>
      <c r="CF5" s="41"/>
      <c r="CG5" s="32"/>
      <c r="CH5" s="32"/>
      <c r="CI5" s="41"/>
      <c r="CJ5" s="32"/>
      <c r="CK5" s="32"/>
      <c r="CL5" s="41"/>
      <c r="CM5" s="32"/>
      <c r="CN5" s="32"/>
      <c r="CO5" s="41"/>
      <c r="CP5" s="32"/>
      <c r="CQ5" s="32"/>
      <c r="CR5" s="41"/>
      <c r="CS5" s="32"/>
      <c r="CT5" s="32"/>
      <c r="CU5" s="41"/>
      <c r="CV5" s="32"/>
      <c r="CW5" s="32"/>
      <c r="CX5" s="41"/>
      <c r="CY5" s="32"/>
      <c r="CZ5" s="32"/>
      <c r="DA5" s="41"/>
      <c r="DB5" s="32"/>
      <c r="DC5" s="32"/>
      <c r="DD5" s="41"/>
      <c r="DE5" s="32"/>
      <c r="DF5" s="32"/>
      <c r="DG5" s="41"/>
      <c r="DH5" s="32"/>
      <c r="DI5" s="32"/>
      <c r="DJ5" s="41"/>
      <c r="DK5" s="32"/>
      <c r="DL5" s="32"/>
      <c r="DM5" s="41"/>
      <c r="DN5" s="32"/>
      <c r="DO5" s="32"/>
      <c r="DP5" s="41"/>
      <c r="DQ5" s="32"/>
      <c r="DR5" s="32"/>
      <c r="DS5" s="41"/>
      <c r="DT5" s="32"/>
      <c r="DU5" s="32"/>
      <c r="DV5" s="41"/>
      <c r="DW5" s="32"/>
      <c r="DX5" s="32"/>
      <c r="DY5" s="41"/>
      <c r="DZ5" s="32"/>
      <c r="EA5" s="32"/>
      <c r="EB5" s="41"/>
      <c r="EC5" s="32"/>
      <c r="ED5" s="32"/>
      <c r="EE5" s="41"/>
      <c r="EF5" s="32"/>
      <c r="EG5" s="32"/>
    </row>
    <row r="6" spans="1:140" ht="19.5" thickBot="1" x14ac:dyDescent="0.25">
      <c r="A6" s="16">
        <f ca="1">合計!$A6</f>
        <v>45779</v>
      </c>
      <c r="B6" s="17" t="str">
        <f t="shared" ref="B6:B35" si="4">IF(K6="","",K6)</f>
        <v/>
      </c>
      <c r="C6" s="17">
        <f t="shared" si="0"/>
        <v>0</v>
      </c>
      <c r="D6" s="17">
        <f t="shared" ref="D6:D26" si="5">IFERROR(E6*92.597%+ROUNDUP(M6,1)+ROUNDUP(N6,1)+ROUNDUP(O6,1)+ROUNDUP(P6,1),0)</f>
        <v>0</v>
      </c>
      <c r="E6" s="17" t="str">
        <f t="shared" si="1"/>
        <v/>
      </c>
      <c r="F6" s="15">
        <f t="shared" ref="F6:F35" si="6">D6-C6</f>
        <v>0</v>
      </c>
      <c r="G6" s="18" t="e">
        <f t="shared" si="2"/>
        <v>#VALUE!</v>
      </c>
      <c r="I6" s="29">
        <f t="shared" ca="1" si="3"/>
        <v>45779</v>
      </c>
      <c r="J6" s="34"/>
      <c r="K6" s="34"/>
      <c r="L6" s="36"/>
      <c r="M6" s="63"/>
      <c r="N6" s="35"/>
      <c r="O6" s="57"/>
      <c r="P6" s="42"/>
      <c r="S6" s="32"/>
      <c r="T6" s="32"/>
      <c r="U6" s="41"/>
      <c r="V6" s="32"/>
      <c r="W6" s="32"/>
      <c r="X6" s="41"/>
      <c r="Y6" s="32"/>
      <c r="Z6" s="32"/>
      <c r="AA6" s="41"/>
      <c r="AB6" s="32"/>
      <c r="AC6" s="32"/>
      <c r="AD6" s="41"/>
      <c r="AE6" s="32"/>
      <c r="AF6" s="32"/>
      <c r="AG6" s="41"/>
      <c r="AH6" s="32"/>
      <c r="AI6" s="32"/>
      <c r="AJ6" s="41"/>
      <c r="AK6" s="32"/>
      <c r="AL6" s="32"/>
      <c r="AM6" s="41"/>
      <c r="AN6" s="32"/>
      <c r="AO6" s="32"/>
      <c r="AP6" s="41"/>
      <c r="AQ6" s="32"/>
      <c r="AR6" s="32"/>
      <c r="AS6" s="41"/>
      <c r="AT6" s="32"/>
      <c r="AU6" s="32"/>
      <c r="AV6" s="41"/>
      <c r="AW6" s="32"/>
      <c r="AX6" s="32"/>
      <c r="AY6" s="41"/>
      <c r="AZ6" s="32"/>
      <c r="BA6" s="32"/>
      <c r="BB6" s="41"/>
      <c r="BC6" s="32"/>
      <c r="BD6" s="32"/>
      <c r="BE6" s="41"/>
      <c r="BF6" s="32"/>
      <c r="BG6" s="32"/>
      <c r="BH6" s="41"/>
      <c r="BI6" s="32"/>
      <c r="BJ6" s="32"/>
      <c r="BK6" s="41"/>
      <c r="BL6" s="32"/>
      <c r="BM6" s="32"/>
      <c r="BN6" s="41"/>
      <c r="BO6" s="32"/>
      <c r="BP6" s="32"/>
      <c r="BQ6" s="41"/>
      <c r="BR6" s="32"/>
      <c r="BS6" s="32"/>
      <c r="BT6" s="41"/>
      <c r="BU6" s="32"/>
      <c r="BV6" s="32"/>
      <c r="BW6" s="41"/>
      <c r="BX6" s="32"/>
      <c r="BY6" s="32"/>
      <c r="BZ6" s="41"/>
      <c r="CA6" s="32"/>
      <c r="CB6" s="32"/>
      <c r="CC6" s="41"/>
      <c r="CD6" s="32"/>
      <c r="CE6" s="32"/>
      <c r="CF6" s="41"/>
      <c r="CG6" s="32"/>
      <c r="CH6" s="32"/>
      <c r="CI6" s="41"/>
      <c r="CJ6" s="32"/>
      <c r="CK6" s="32"/>
      <c r="CL6" s="41"/>
      <c r="CM6" s="32"/>
      <c r="CN6" s="32"/>
      <c r="CO6" s="41"/>
      <c r="CP6" s="32"/>
      <c r="CQ6" s="32"/>
      <c r="CR6" s="41"/>
      <c r="CS6" s="32"/>
      <c r="CT6" s="32"/>
      <c r="CU6" s="41"/>
      <c r="CV6" s="32"/>
      <c r="CW6" s="32"/>
      <c r="CX6" s="41"/>
      <c r="CY6" s="32"/>
      <c r="CZ6" s="32"/>
      <c r="DA6" s="41"/>
      <c r="DB6" s="32"/>
      <c r="DC6" s="32"/>
      <c r="DD6" s="41"/>
      <c r="DE6" s="32"/>
      <c r="DF6" s="32"/>
      <c r="DG6" s="41"/>
      <c r="DH6" s="32"/>
      <c r="DI6" s="32"/>
      <c r="DJ6" s="41"/>
      <c r="DK6" s="32"/>
      <c r="DL6" s="32"/>
      <c r="DM6" s="41"/>
      <c r="DN6" s="32"/>
      <c r="DO6" s="32"/>
      <c r="DP6" s="41"/>
      <c r="DQ6" s="32"/>
      <c r="DR6" s="32"/>
      <c r="DS6" s="41"/>
      <c r="DT6" s="32"/>
      <c r="DU6" s="32"/>
      <c r="DV6" s="41"/>
      <c r="DW6" s="32"/>
      <c r="DX6" s="32"/>
      <c r="DY6" s="41"/>
      <c r="DZ6" s="32"/>
      <c r="EA6" s="32"/>
      <c r="EB6" s="41"/>
      <c r="EC6" s="32"/>
      <c r="ED6" s="32"/>
      <c r="EE6" s="41"/>
      <c r="EF6" s="32"/>
      <c r="EG6" s="32"/>
    </row>
    <row r="7" spans="1:140" ht="19.5" thickBot="1" x14ac:dyDescent="0.25">
      <c r="A7" s="16">
        <f ca="1">合計!$A7</f>
        <v>45780</v>
      </c>
      <c r="B7" s="17" t="str">
        <f t="shared" si="4"/>
        <v/>
      </c>
      <c r="C7" s="17">
        <f t="shared" si="0"/>
        <v>0</v>
      </c>
      <c r="D7" s="17">
        <f t="shared" si="5"/>
        <v>0</v>
      </c>
      <c r="E7" s="17" t="str">
        <f t="shared" si="1"/>
        <v/>
      </c>
      <c r="F7" s="15">
        <f t="shared" si="6"/>
        <v>0</v>
      </c>
      <c r="G7" s="18" t="e">
        <f t="shared" si="2"/>
        <v>#VALUE!</v>
      </c>
      <c r="I7" s="29">
        <f t="shared" ca="1" si="3"/>
        <v>45780</v>
      </c>
      <c r="J7" s="34"/>
      <c r="K7" s="34"/>
      <c r="L7" s="36"/>
      <c r="M7" s="63"/>
      <c r="N7" s="35"/>
      <c r="O7" s="57"/>
      <c r="P7" s="42"/>
      <c r="S7" s="32"/>
      <c r="T7" s="32"/>
      <c r="U7" s="41"/>
      <c r="V7" s="32"/>
      <c r="W7" s="32"/>
      <c r="X7" s="41"/>
      <c r="Y7" s="32"/>
      <c r="Z7" s="32"/>
      <c r="AA7" s="41"/>
      <c r="AB7" s="32"/>
      <c r="AC7" s="32"/>
      <c r="AD7" s="41"/>
      <c r="AE7" s="32"/>
      <c r="AF7" s="32"/>
      <c r="AG7" s="41"/>
      <c r="AH7" s="32"/>
      <c r="AI7" s="32"/>
      <c r="AJ7" s="41"/>
      <c r="AK7" s="32"/>
      <c r="AL7" s="32"/>
      <c r="AM7" s="41"/>
      <c r="AN7" s="32"/>
      <c r="AO7" s="32"/>
      <c r="AP7" s="41"/>
      <c r="AQ7" s="32"/>
      <c r="AR7" s="32"/>
      <c r="AS7" s="41"/>
      <c r="AT7" s="32"/>
      <c r="AU7" s="32"/>
      <c r="AV7" s="41"/>
      <c r="AW7" s="32"/>
      <c r="AX7" s="32"/>
      <c r="AY7" s="41"/>
      <c r="AZ7" s="32"/>
      <c r="BA7" s="32"/>
      <c r="BB7" s="41"/>
      <c r="BC7" s="32"/>
      <c r="BD7" s="32"/>
      <c r="BE7" s="41"/>
      <c r="BF7" s="32"/>
      <c r="BG7" s="32"/>
      <c r="BH7" s="41"/>
      <c r="BI7" s="32"/>
      <c r="BJ7" s="32"/>
      <c r="BK7" s="41"/>
      <c r="BL7" s="32"/>
      <c r="BM7" s="32"/>
      <c r="BN7" s="41"/>
      <c r="BO7" s="32"/>
      <c r="BP7" s="32"/>
      <c r="BQ7" s="41"/>
      <c r="BR7" s="32"/>
      <c r="BS7" s="32"/>
      <c r="BT7" s="41"/>
      <c r="BU7" s="32"/>
      <c r="BV7" s="32"/>
      <c r="BW7" s="41"/>
      <c r="BX7" s="32"/>
      <c r="BY7" s="32"/>
      <c r="BZ7" s="41"/>
      <c r="CA7" s="32"/>
      <c r="CB7" s="32"/>
      <c r="CC7" s="41"/>
      <c r="CD7" s="32"/>
      <c r="CE7" s="32"/>
      <c r="CF7" s="41"/>
      <c r="CG7" s="32"/>
      <c r="CH7" s="32"/>
      <c r="CI7" s="41"/>
      <c r="CJ7" s="32"/>
      <c r="CK7" s="32"/>
      <c r="CL7" s="41"/>
      <c r="CM7" s="32"/>
      <c r="CN7" s="32"/>
      <c r="CO7" s="41"/>
      <c r="CP7" s="32"/>
      <c r="CQ7" s="32"/>
      <c r="CR7" s="41"/>
      <c r="CS7" s="32"/>
      <c r="CT7" s="32"/>
      <c r="CU7" s="41"/>
      <c r="CV7" s="32"/>
      <c r="CW7" s="32"/>
      <c r="CX7" s="41"/>
      <c r="CY7" s="32"/>
      <c r="CZ7" s="32"/>
      <c r="DA7" s="41"/>
      <c r="DB7" s="32"/>
      <c r="DC7" s="32"/>
      <c r="DD7" s="41"/>
      <c r="DE7" s="32"/>
      <c r="DF7" s="32"/>
      <c r="DG7" s="41"/>
      <c r="DH7" s="32"/>
      <c r="DI7" s="32"/>
      <c r="DJ7" s="41"/>
      <c r="DK7" s="32"/>
      <c r="DL7" s="32"/>
      <c r="DM7" s="41"/>
      <c r="DN7" s="32"/>
      <c r="DO7" s="32"/>
      <c r="DP7" s="41"/>
      <c r="DQ7" s="32"/>
      <c r="DR7" s="32"/>
      <c r="DS7" s="41"/>
      <c r="DT7" s="32"/>
      <c r="DU7" s="32"/>
      <c r="DV7" s="41"/>
      <c r="DW7" s="32"/>
      <c r="DX7" s="32"/>
      <c r="DY7" s="41"/>
      <c r="DZ7" s="32"/>
      <c r="EA7" s="32"/>
      <c r="EB7" s="41"/>
      <c r="EC7" s="32"/>
      <c r="ED7" s="32"/>
      <c r="EE7" s="41"/>
      <c r="EF7" s="32"/>
      <c r="EG7" s="32"/>
      <c r="EH7" s="36"/>
      <c r="EI7" s="36"/>
    </row>
    <row r="8" spans="1:140" ht="19.5" thickBot="1" x14ac:dyDescent="0.25">
      <c r="A8" s="16">
        <f ca="1">合計!$A8</f>
        <v>45781</v>
      </c>
      <c r="B8" s="17" t="str">
        <f t="shared" si="4"/>
        <v/>
      </c>
      <c r="C8" s="17">
        <f t="shared" si="0"/>
        <v>0</v>
      </c>
      <c r="D8" s="17">
        <f t="shared" si="5"/>
        <v>0</v>
      </c>
      <c r="E8" s="17" t="str">
        <f>IF(J8="","",J8)</f>
        <v/>
      </c>
      <c r="F8" s="15">
        <f>D8-C8</f>
        <v>0</v>
      </c>
      <c r="G8" s="18" t="e">
        <f t="shared" si="2"/>
        <v>#VALUE!</v>
      </c>
      <c r="I8" s="29">
        <f t="shared" ca="1" si="3"/>
        <v>45781</v>
      </c>
      <c r="J8" s="32"/>
      <c r="K8" s="32"/>
      <c r="L8" s="36"/>
      <c r="M8" s="63"/>
      <c r="N8" s="35"/>
      <c r="O8" s="57"/>
      <c r="P8" s="42"/>
      <c r="S8" s="32"/>
      <c r="T8" s="32"/>
      <c r="U8" s="41"/>
      <c r="V8" s="32"/>
      <c r="W8" s="32"/>
      <c r="X8" s="41"/>
      <c r="Y8" s="32"/>
      <c r="Z8" s="32"/>
      <c r="AA8" s="41"/>
      <c r="AB8" s="32"/>
      <c r="AC8" s="32"/>
      <c r="AD8" s="41"/>
      <c r="AE8" s="32"/>
      <c r="AF8" s="32"/>
      <c r="AG8" s="41"/>
      <c r="AH8" s="32"/>
      <c r="AI8" s="32"/>
      <c r="AJ8" s="41"/>
      <c r="AK8" s="32"/>
      <c r="AL8" s="32"/>
      <c r="AM8" s="41"/>
      <c r="AN8" s="32"/>
      <c r="AO8" s="32"/>
      <c r="AP8" s="41"/>
      <c r="AQ8" s="32"/>
      <c r="AR8" s="32"/>
      <c r="AS8" s="41"/>
      <c r="AT8" s="32"/>
      <c r="AU8" s="32"/>
      <c r="AV8" s="41"/>
      <c r="AW8" s="32"/>
      <c r="AX8" s="32"/>
      <c r="AY8" s="41"/>
      <c r="AZ8" s="32"/>
      <c r="BA8" s="32"/>
      <c r="BB8" s="41"/>
      <c r="BC8" s="32"/>
      <c r="BD8" s="32"/>
      <c r="BE8" s="41"/>
      <c r="BF8" s="32"/>
      <c r="BG8" s="32"/>
      <c r="BH8" s="41"/>
      <c r="BI8" s="32"/>
      <c r="BJ8" s="32"/>
      <c r="BK8" s="41"/>
      <c r="BL8" s="32"/>
      <c r="BM8" s="32"/>
      <c r="BN8" s="41"/>
      <c r="BO8" s="32"/>
      <c r="BP8" s="32"/>
      <c r="BQ8" s="41"/>
      <c r="BR8" s="32"/>
      <c r="BS8" s="32"/>
      <c r="BT8" s="41"/>
      <c r="BU8" s="32"/>
      <c r="BV8" s="32"/>
      <c r="BW8" s="41"/>
      <c r="BX8" s="32"/>
      <c r="BY8" s="32"/>
      <c r="BZ8" s="41"/>
      <c r="CA8" s="32"/>
      <c r="CB8" s="32"/>
      <c r="CC8" s="41"/>
      <c r="CD8" s="32"/>
      <c r="CE8" s="32"/>
      <c r="CF8" s="41"/>
      <c r="CG8" s="32"/>
      <c r="CH8" s="32"/>
      <c r="CI8" s="41"/>
      <c r="CJ8" s="32"/>
      <c r="CK8" s="32"/>
      <c r="CL8" s="41"/>
      <c r="CM8" s="32"/>
      <c r="CN8" s="32"/>
      <c r="CO8" s="41"/>
      <c r="CP8" s="32"/>
      <c r="CQ8" s="32"/>
      <c r="CR8" s="41"/>
      <c r="CS8" s="32"/>
      <c r="CT8" s="32"/>
      <c r="CU8" s="41"/>
      <c r="CV8" s="32"/>
      <c r="CW8" s="32"/>
      <c r="CX8" s="41"/>
      <c r="CY8" s="32"/>
      <c r="CZ8" s="32"/>
      <c r="DA8" s="41"/>
      <c r="DB8" s="32"/>
      <c r="DC8" s="32"/>
      <c r="DD8" s="41"/>
      <c r="DE8" s="32"/>
      <c r="DF8" s="32"/>
      <c r="DG8" s="41"/>
      <c r="DH8" s="32"/>
      <c r="DI8" s="32"/>
      <c r="DJ8" s="41"/>
      <c r="DK8" s="32"/>
      <c r="DL8" s="32"/>
      <c r="DM8" s="41"/>
      <c r="DN8" s="32"/>
      <c r="DO8" s="32"/>
      <c r="DP8" s="41"/>
      <c r="DQ8" s="32"/>
      <c r="DR8" s="32"/>
      <c r="DS8" s="41"/>
      <c r="DT8" s="32"/>
      <c r="DU8" s="32"/>
      <c r="DV8" s="41"/>
      <c r="DW8" s="32"/>
      <c r="DX8" s="32"/>
      <c r="DY8" s="41"/>
      <c r="DZ8" s="32"/>
      <c r="EA8" s="32"/>
      <c r="EB8" s="41"/>
      <c r="EC8" s="32"/>
      <c r="ED8" s="32"/>
      <c r="EE8" s="41"/>
      <c r="EF8" s="32"/>
      <c r="EG8" s="32"/>
    </row>
    <row r="9" spans="1:140" ht="19.5" thickBot="1" x14ac:dyDescent="0.25">
      <c r="A9" s="16">
        <f ca="1">合計!$A9</f>
        <v>45782</v>
      </c>
      <c r="B9" s="17" t="str">
        <f t="shared" si="4"/>
        <v/>
      </c>
      <c r="C9" s="17">
        <f t="shared" si="0"/>
        <v>0</v>
      </c>
      <c r="D9" s="17">
        <f t="shared" si="5"/>
        <v>0</v>
      </c>
      <c r="E9" s="17" t="str">
        <f t="shared" si="1"/>
        <v/>
      </c>
      <c r="F9" s="15">
        <f t="shared" si="6"/>
        <v>0</v>
      </c>
      <c r="G9" s="18" t="e">
        <f t="shared" si="2"/>
        <v>#VALUE!</v>
      </c>
      <c r="I9" s="29">
        <f t="shared" ca="1" si="3"/>
        <v>45782</v>
      </c>
      <c r="J9" s="32"/>
      <c r="K9" s="32"/>
      <c r="L9" s="36"/>
      <c r="M9" s="63"/>
      <c r="N9" s="35"/>
      <c r="O9" s="57"/>
      <c r="P9" s="42"/>
      <c r="S9" s="32"/>
      <c r="T9" s="32"/>
      <c r="U9" s="41"/>
      <c r="V9" s="32"/>
      <c r="W9" s="32"/>
      <c r="X9" s="41"/>
      <c r="Y9" s="32"/>
      <c r="Z9" s="32"/>
      <c r="AA9" s="41"/>
      <c r="AB9" s="32"/>
      <c r="AC9" s="32"/>
      <c r="AD9" s="41"/>
      <c r="AE9" s="32"/>
      <c r="AF9" s="32"/>
      <c r="AG9" s="41"/>
      <c r="AH9" s="32"/>
      <c r="AI9" s="32"/>
      <c r="AJ9" s="41"/>
      <c r="AK9" s="32"/>
      <c r="AL9" s="32"/>
      <c r="AM9" s="41"/>
      <c r="AN9" s="32"/>
      <c r="AO9" s="32"/>
      <c r="AP9" s="41"/>
      <c r="AQ9" s="32"/>
      <c r="AR9" s="32"/>
      <c r="AS9" s="41"/>
      <c r="AT9" s="32"/>
      <c r="AU9" s="32"/>
      <c r="AV9" s="41"/>
      <c r="AW9" s="32"/>
      <c r="AX9" s="32"/>
      <c r="AY9" s="41"/>
      <c r="AZ9" s="32"/>
      <c r="BA9" s="32"/>
      <c r="BB9" s="41"/>
      <c r="BC9" s="32"/>
      <c r="BD9" s="32"/>
      <c r="BE9" s="41"/>
      <c r="BF9" s="32"/>
      <c r="BG9" s="32"/>
      <c r="BH9" s="41"/>
      <c r="BI9" s="32"/>
      <c r="BJ9" s="32"/>
      <c r="BK9" s="41"/>
      <c r="BL9" s="32"/>
      <c r="BM9" s="32"/>
      <c r="BN9" s="41"/>
      <c r="BO9" s="32"/>
      <c r="BP9" s="32"/>
      <c r="BQ9" s="41"/>
      <c r="BR9" s="32"/>
      <c r="BS9" s="32"/>
      <c r="BT9" s="41"/>
      <c r="BU9" s="32"/>
      <c r="BV9" s="32"/>
      <c r="BW9" s="41"/>
      <c r="BX9" s="32"/>
      <c r="BY9" s="32"/>
      <c r="BZ9" s="41"/>
      <c r="CA9" s="32"/>
      <c r="CB9" s="32"/>
      <c r="CC9" s="41"/>
      <c r="CD9" s="32"/>
      <c r="CE9" s="32"/>
      <c r="CF9" s="41"/>
      <c r="CG9" s="32"/>
      <c r="CH9" s="32"/>
      <c r="CI9" s="41"/>
      <c r="CJ9" s="32"/>
      <c r="CK9" s="32"/>
      <c r="CL9" s="41"/>
      <c r="CM9" s="32"/>
      <c r="CN9" s="32"/>
      <c r="CO9" s="41"/>
      <c r="CP9" s="32"/>
      <c r="CQ9" s="32"/>
      <c r="CR9" s="41"/>
      <c r="CS9" s="32"/>
      <c r="CT9" s="32"/>
      <c r="CU9" s="41"/>
      <c r="CV9" s="32"/>
      <c r="CW9" s="32"/>
      <c r="CX9" s="41"/>
      <c r="CY9" s="32"/>
      <c r="CZ9" s="32"/>
      <c r="DA9" s="41"/>
      <c r="DB9" s="32"/>
      <c r="DC9" s="32"/>
      <c r="DD9" s="41"/>
      <c r="DE9" s="32"/>
      <c r="DF9" s="32"/>
      <c r="DG9" s="41"/>
      <c r="DH9" s="32"/>
      <c r="DI9" s="32"/>
      <c r="DJ9" s="41"/>
      <c r="DK9" s="32"/>
      <c r="DL9" s="32"/>
      <c r="DM9" s="41"/>
      <c r="DN9" s="32"/>
      <c r="DO9" s="32"/>
      <c r="DP9" s="41"/>
      <c r="DQ9" s="32"/>
      <c r="DR9" s="32"/>
      <c r="DS9" s="41"/>
      <c r="DT9" s="32"/>
      <c r="DU9" s="32"/>
      <c r="DV9" s="41"/>
      <c r="DW9" s="32"/>
      <c r="DX9" s="32"/>
      <c r="DY9" s="41"/>
      <c r="DZ9" s="32"/>
      <c r="EA9" s="32"/>
      <c r="EB9" s="41"/>
      <c r="EC9" s="32"/>
      <c r="ED9" s="32"/>
      <c r="EE9" s="41"/>
      <c r="EF9" s="32"/>
      <c r="EG9" s="32"/>
    </row>
    <row r="10" spans="1:140" ht="19.5" thickBot="1" x14ac:dyDescent="0.25">
      <c r="A10" s="16">
        <f ca="1">合計!$A10</f>
        <v>45783</v>
      </c>
      <c r="B10" s="17" t="str">
        <f t="shared" si="4"/>
        <v/>
      </c>
      <c r="C10" s="17">
        <f t="shared" si="0"/>
        <v>0</v>
      </c>
      <c r="D10" s="17">
        <f t="shared" si="5"/>
        <v>0</v>
      </c>
      <c r="E10" s="17" t="str">
        <f t="shared" si="1"/>
        <v/>
      </c>
      <c r="F10" s="15">
        <f t="shared" si="6"/>
        <v>0</v>
      </c>
      <c r="G10" s="18" t="e">
        <f t="shared" si="2"/>
        <v>#VALUE!</v>
      </c>
      <c r="I10" s="29">
        <f t="shared" ca="1" si="3"/>
        <v>45783</v>
      </c>
      <c r="J10" s="32"/>
      <c r="K10" s="32"/>
      <c r="L10" s="36"/>
      <c r="M10" s="63"/>
      <c r="N10" s="35"/>
      <c r="O10" s="57"/>
      <c r="P10" s="42"/>
      <c r="S10" s="32"/>
      <c r="T10" s="32"/>
      <c r="U10" s="41"/>
      <c r="V10" s="32"/>
      <c r="W10" s="32"/>
      <c r="X10" s="41"/>
      <c r="Y10" s="32"/>
      <c r="Z10" s="32"/>
      <c r="AA10" s="41"/>
      <c r="AB10" s="32"/>
      <c r="AC10" s="32"/>
      <c r="AD10" s="41"/>
      <c r="AE10" s="32"/>
      <c r="AF10" s="32"/>
      <c r="AG10" s="41"/>
      <c r="AH10" s="32"/>
      <c r="AI10" s="32"/>
      <c r="AJ10" s="41"/>
      <c r="AK10" s="32"/>
      <c r="AL10" s="32"/>
      <c r="AM10" s="41"/>
      <c r="AN10" s="32"/>
      <c r="AO10" s="32"/>
      <c r="AP10" s="41"/>
      <c r="AQ10" s="32"/>
      <c r="AR10" s="32"/>
      <c r="AS10" s="41"/>
      <c r="AT10" s="32"/>
      <c r="AU10" s="32"/>
      <c r="AV10" s="41"/>
      <c r="AW10" s="32"/>
      <c r="AX10" s="32"/>
      <c r="AY10" s="41"/>
      <c r="AZ10" s="32"/>
      <c r="BA10" s="32"/>
      <c r="BB10" s="41"/>
      <c r="BC10" s="32"/>
      <c r="BD10" s="32"/>
      <c r="BE10" s="41"/>
      <c r="BF10" s="32"/>
      <c r="BG10" s="32"/>
      <c r="BH10" s="41"/>
      <c r="BI10" s="32"/>
      <c r="BJ10" s="32"/>
      <c r="BK10" s="41"/>
      <c r="BL10" s="32"/>
      <c r="BM10" s="32"/>
      <c r="BN10" s="41"/>
      <c r="BO10" s="32"/>
      <c r="BP10" s="32"/>
      <c r="BQ10" s="41"/>
      <c r="BR10" s="32"/>
      <c r="BS10" s="32"/>
      <c r="BT10" s="41"/>
      <c r="BU10" s="32"/>
      <c r="BV10" s="32"/>
      <c r="BW10" s="41"/>
      <c r="BX10" s="32"/>
      <c r="BY10" s="32"/>
      <c r="BZ10" s="41"/>
      <c r="CA10" s="32"/>
      <c r="CB10" s="32"/>
      <c r="CC10" s="41"/>
      <c r="CD10" s="32"/>
      <c r="CE10" s="32"/>
      <c r="CF10" s="41"/>
      <c r="CG10" s="32"/>
      <c r="CH10" s="32"/>
      <c r="CI10" s="41"/>
      <c r="CJ10" s="32"/>
      <c r="CK10" s="32"/>
      <c r="CL10" s="41"/>
      <c r="CM10" s="32"/>
      <c r="CN10" s="32"/>
      <c r="CO10" s="41"/>
      <c r="CP10" s="32"/>
      <c r="CQ10" s="32"/>
      <c r="CR10" s="41"/>
      <c r="CS10" s="32"/>
      <c r="CT10" s="32"/>
      <c r="CU10" s="41"/>
      <c r="CV10" s="32"/>
      <c r="CW10" s="32"/>
      <c r="CX10" s="41"/>
      <c r="CY10" s="32"/>
      <c r="CZ10" s="32"/>
      <c r="DA10" s="41"/>
      <c r="DB10" s="32"/>
      <c r="DC10" s="32"/>
      <c r="DD10" s="41"/>
      <c r="DE10" s="32"/>
      <c r="DF10" s="32"/>
      <c r="DG10" s="41"/>
      <c r="DH10" s="32"/>
      <c r="DI10" s="32"/>
      <c r="DJ10" s="41"/>
      <c r="DK10" s="32"/>
      <c r="DL10" s="32"/>
      <c r="DM10" s="41"/>
      <c r="DN10" s="32"/>
      <c r="DO10" s="32"/>
      <c r="DP10" s="41"/>
      <c r="DQ10" s="32"/>
      <c r="DR10" s="32"/>
      <c r="DS10" s="41"/>
      <c r="DT10" s="32"/>
      <c r="DU10" s="32"/>
      <c r="DV10" s="41"/>
      <c r="DW10" s="32"/>
      <c r="DX10" s="32"/>
      <c r="DY10" s="41"/>
      <c r="DZ10" s="32"/>
      <c r="EA10" s="32"/>
      <c r="EB10" s="41"/>
      <c r="EC10" s="32"/>
      <c r="ED10" s="32"/>
      <c r="EE10" s="41"/>
      <c r="EF10" s="32"/>
      <c r="EG10" s="32"/>
      <c r="EI10" s="36"/>
      <c r="EJ10" s="36"/>
    </row>
    <row r="11" spans="1:140" ht="19.5" thickBot="1" x14ac:dyDescent="0.25">
      <c r="A11" s="16">
        <f ca="1">合計!$A11</f>
        <v>45784</v>
      </c>
      <c r="B11" s="17" t="str">
        <f t="shared" si="4"/>
        <v/>
      </c>
      <c r="C11" s="17">
        <f t="shared" si="0"/>
        <v>0</v>
      </c>
      <c r="D11" s="17">
        <f t="shared" si="5"/>
        <v>0</v>
      </c>
      <c r="E11" s="17" t="str">
        <f t="shared" si="1"/>
        <v/>
      </c>
      <c r="F11" s="15">
        <f t="shared" si="6"/>
        <v>0</v>
      </c>
      <c r="G11" s="18" t="e">
        <f t="shared" si="2"/>
        <v>#VALUE!</v>
      </c>
      <c r="I11" s="29">
        <f t="shared" ca="1" si="3"/>
        <v>45784</v>
      </c>
      <c r="J11" s="34"/>
      <c r="K11" s="34"/>
      <c r="L11" s="36"/>
      <c r="M11" s="63"/>
      <c r="N11" s="58"/>
      <c r="O11" s="57"/>
      <c r="P11" s="42"/>
      <c r="S11" s="32"/>
      <c r="T11" s="32"/>
      <c r="U11" s="41"/>
      <c r="V11" s="32"/>
      <c r="W11" s="32"/>
      <c r="X11" s="41"/>
      <c r="Y11" s="32"/>
      <c r="Z11" s="32"/>
      <c r="AA11" s="41"/>
      <c r="AB11" s="32"/>
      <c r="AC11" s="32"/>
      <c r="AD11" s="41"/>
      <c r="AE11" s="32"/>
      <c r="AF11" s="32"/>
      <c r="AG11" s="41"/>
      <c r="AH11" s="32"/>
      <c r="AI11" s="32"/>
      <c r="AJ11" s="41"/>
      <c r="AK11" s="32"/>
      <c r="AL11" s="32"/>
      <c r="AM11" s="41"/>
      <c r="AN11" s="32"/>
      <c r="AO11" s="32"/>
      <c r="AP11" s="41"/>
      <c r="AQ11" s="32"/>
      <c r="AR11" s="32"/>
      <c r="AS11" s="41"/>
      <c r="AT11" s="32"/>
      <c r="AU11" s="32"/>
      <c r="AV11" s="41"/>
      <c r="AW11" s="32"/>
      <c r="AX11" s="32"/>
      <c r="AY11" s="41"/>
      <c r="AZ11" s="32"/>
      <c r="BA11" s="32"/>
      <c r="BB11" s="41"/>
      <c r="BC11" s="32"/>
      <c r="BD11" s="32"/>
      <c r="BE11" s="41"/>
      <c r="BF11" s="32"/>
      <c r="BG11" s="32"/>
      <c r="BH11" s="41"/>
      <c r="BI11" s="32"/>
      <c r="BJ11" s="32"/>
      <c r="BK11" s="41"/>
      <c r="BL11" s="32"/>
      <c r="BM11" s="32"/>
      <c r="BN11" s="41"/>
      <c r="BO11" s="32"/>
      <c r="BP11" s="32"/>
      <c r="BQ11" s="41"/>
      <c r="BR11" s="32"/>
      <c r="BS11" s="32"/>
      <c r="BT11" s="41"/>
      <c r="BU11" s="32"/>
      <c r="BV11" s="32"/>
      <c r="BW11" s="41"/>
      <c r="BX11" s="32"/>
      <c r="BY11" s="32"/>
      <c r="BZ11" s="41"/>
      <c r="CA11" s="32"/>
      <c r="CB11" s="32"/>
      <c r="CC11" s="41"/>
      <c r="CD11" s="32"/>
      <c r="CE11" s="32"/>
      <c r="CF11" s="41"/>
      <c r="CG11" s="32"/>
      <c r="CH11" s="32"/>
      <c r="CI11" s="41"/>
      <c r="CJ11" s="32"/>
      <c r="CK11" s="32"/>
      <c r="CL11" s="41"/>
      <c r="CM11" s="32"/>
      <c r="CN11" s="32"/>
      <c r="CO11" s="41"/>
      <c r="CP11" s="32"/>
      <c r="CQ11" s="32"/>
      <c r="CR11" s="41"/>
      <c r="CS11" s="32"/>
      <c r="CT11" s="32"/>
      <c r="CU11" s="41"/>
      <c r="CV11" s="32"/>
      <c r="CW11" s="32"/>
      <c r="CX11" s="41"/>
      <c r="CY11" s="32"/>
      <c r="CZ11" s="32"/>
      <c r="DA11" s="41"/>
      <c r="DB11" s="32"/>
      <c r="DC11" s="32"/>
      <c r="DD11" s="41"/>
      <c r="DE11" s="32"/>
      <c r="DF11" s="32"/>
      <c r="DG11" s="41"/>
      <c r="DH11" s="32"/>
      <c r="DI11" s="32"/>
      <c r="DJ11" s="41"/>
      <c r="DK11" s="32"/>
      <c r="DL11" s="32"/>
      <c r="DM11" s="41"/>
      <c r="DN11" s="32"/>
      <c r="DO11" s="32"/>
      <c r="DP11" s="41"/>
      <c r="DQ11" s="32"/>
      <c r="DR11" s="32"/>
      <c r="DS11" s="41"/>
      <c r="DT11" s="32"/>
      <c r="DU11" s="32"/>
      <c r="DV11" s="41"/>
      <c r="DW11" s="32"/>
      <c r="DX11" s="32"/>
      <c r="DY11" s="41"/>
      <c r="DZ11" s="32"/>
      <c r="EA11" s="32"/>
      <c r="EB11" s="41"/>
      <c r="EC11" s="32"/>
      <c r="ED11" s="32"/>
      <c r="EE11" s="41"/>
      <c r="EF11" s="32"/>
      <c r="EG11" s="32"/>
    </row>
    <row r="12" spans="1:140" ht="19.5" thickBot="1" x14ac:dyDescent="0.25">
      <c r="A12" s="16">
        <f ca="1">合計!$A12</f>
        <v>45785</v>
      </c>
      <c r="B12" s="17" t="str">
        <f t="shared" si="4"/>
        <v/>
      </c>
      <c r="C12" s="17">
        <f t="shared" si="0"/>
        <v>0</v>
      </c>
      <c r="D12" s="17">
        <f t="shared" si="5"/>
        <v>0</v>
      </c>
      <c r="E12" s="17" t="str">
        <f t="shared" si="1"/>
        <v/>
      </c>
      <c r="F12" s="15">
        <f t="shared" si="6"/>
        <v>0</v>
      </c>
      <c r="G12" s="18" t="e">
        <f t="shared" si="2"/>
        <v>#VALUE!</v>
      </c>
      <c r="I12" s="29">
        <f t="shared" ca="1" si="3"/>
        <v>45785</v>
      </c>
      <c r="J12" s="32"/>
      <c r="K12" s="32"/>
      <c r="L12" s="36"/>
      <c r="M12" s="63"/>
      <c r="N12" s="35"/>
      <c r="O12" s="57"/>
      <c r="P12" s="40"/>
      <c r="S12" s="32"/>
      <c r="T12" s="32"/>
      <c r="U12" s="41"/>
      <c r="V12" s="32"/>
      <c r="W12" s="32"/>
      <c r="X12" s="41"/>
      <c r="Y12" s="32"/>
      <c r="Z12" s="32"/>
      <c r="AA12" s="41"/>
      <c r="AB12" s="32"/>
      <c r="AC12" s="32"/>
      <c r="AD12" s="41"/>
      <c r="AE12" s="32"/>
      <c r="AF12" s="32"/>
      <c r="AG12" s="41"/>
      <c r="AH12" s="32"/>
      <c r="AI12" s="32"/>
      <c r="AJ12" s="41"/>
      <c r="AK12" s="32"/>
      <c r="AL12" s="32"/>
      <c r="AM12" s="41"/>
      <c r="AN12" s="32"/>
      <c r="AO12" s="32"/>
      <c r="AP12" s="41"/>
      <c r="AQ12" s="32"/>
      <c r="AR12" s="32"/>
      <c r="AS12" s="41"/>
      <c r="AT12" s="32"/>
      <c r="AU12" s="32"/>
      <c r="AV12" s="41"/>
      <c r="AW12" s="32"/>
      <c r="AX12" s="32"/>
      <c r="AY12" s="41"/>
      <c r="AZ12" s="32"/>
      <c r="BA12" s="32"/>
      <c r="BB12" s="41"/>
      <c r="BC12" s="32"/>
      <c r="BD12" s="32"/>
      <c r="BE12" s="41"/>
      <c r="BF12" s="32"/>
      <c r="BG12" s="32"/>
      <c r="BH12" s="41"/>
      <c r="BI12" s="32"/>
      <c r="BJ12" s="32"/>
      <c r="BK12" s="41"/>
      <c r="BL12" s="32"/>
      <c r="BM12" s="32"/>
      <c r="BN12" s="41"/>
      <c r="BO12" s="32"/>
      <c r="BP12" s="32"/>
      <c r="BQ12" s="41"/>
      <c r="BR12" s="32"/>
      <c r="BS12" s="32"/>
      <c r="BT12" s="41"/>
      <c r="BU12" s="32"/>
      <c r="BV12" s="32"/>
      <c r="BW12" s="41"/>
      <c r="BX12" s="32"/>
      <c r="BY12" s="32"/>
      <c r="BZ12" s="41"/>
      <c r="CA12" s="32"/>
      <c r="CB12" s="32"/>
      <c r="CC12" s="41"/>
      <c r="CD12" s="32"/>
      <c r="CE12" s="32"/>
      <c r="CF12" s="41"/>
      <c r="CG12" s="32"/>
      <c r="CH12" s="32"/>
      <c r="CI12" s="41"/>
      <c r="CJ12" s="32"/>
      <c r="CK12" s="32"/>
      <c r="CL12" s="41"/>
      <c r="CM12" s="32"/>
      <c r="CN12" s="32"/>
      <c r="CO12" s="41"/>
      <c r="CP12" s="32"/>
      <c r="CQ12" s="32"/>
      <c r="CR12" s="41"/>
      <c r="CS12" s="32"/>
      <c r="CT12" s="32"/>
      <c r="CU12" s="41"/>
      <c r="CV12" s="32"/>
      <c r="CW12" s="32"/>
      <c r="CX12" s="41"/>
      <c r="CY12" s="32"/>
      <c r="CZ12" s="32"/>
      <c r="DA12" s="41"/>
      <c r="DB12" s="32"/>
      <c r="DC12" s="32"/>
      <c r="DD12" s="41"/>
      <c r="DE12" s="32"/>
      <c r="DF12" s="32"/>
      <c r="DG12" s="41"/>
      <c r="DH12" s="32"/>
      <c r="DI12" s="32"/>
      <c r="DJ12" s="41"/>
      <c r="DK12" s="32"/>
      <c r="DL12" s="32"/>
      <c r="DM12" s="41"/>
      <c r="DN12" s="32"/>
      <c r="DO12" s="32"/>
      <c r="DP12" s="41"/>
      <c r="DQ12" s="32"/>
      <c r="DR12" s="32"/>
      <c r="DS12" s="41"/>
      <c r="DT12" s="32"/>
      <c r="DU12" s="32"/>
      <c r="DV12" s="41"/>
      <c r="DW12" s="32"/>
      <c r="DX12" s="32"/>
      <c r="DY12" s="41"/>
      <c r="DZ12" s="32"/>
      <c r="EA12" s="32"/>
      <c r="EB12" s="41"/>
      <c r="EC12" s="32"/>
      <c r="ED12" s="32"/>
      <c r="EE12" s="41"/>
      <c r="EF12" s="32"/>
      <c r="EG12" s="32"/>
    </row>
    <row r="13" spans="1:140" ht="19.5" thickBot="1" x14ac:dyDescent="0.25">
      <c r="A13" s="16">
        <f ca="1">合計!$A13</f>
        <v>45786</v>
      </c>
      <c r="B13" s="17" t="str">
        <f t="shared" si="4"/>
        <v/>
      </c>
      <c r="C13" s="17">
        <f t="shared" si="0"/>
        <v>0</v>
      </c>
      <c r="D13" s="17">
        <f t="shared" si="5"/>
        <v>0</v>
      </c>
      <c r="E13" s="17" t="str">
        <f t="shared" si="1"/>
        <v/>
      </c>
      <c r="F13" s="15">
        <f t="shared" si="6"/>
        <v>0</v>
      </c>
      <c r="G13" s="18" t="e">
        <f t="shared" si="2"/>
        <v>#VALUE!</v>
      </c>
      <c r="I13" s="29">
        <f t="shared" ca="1" si="3"/>
        <v>45786</v>
      </c>
      <c r="J13" s="32"/>
      <c r="K13" s="32"/>
      <c r="L13" s="36"/>
      <c r="M13" s="63"/>
      <c r="N13" s="35"/>
      <c r="O13" s="57"/>
      <c r="P13" s="40"/>
      <c r="S13" s="32"/>
      <c r="T13" s="32"/>
      <c r="U13" s="41"/>
      <c r="V13" s="32"/>
      <c r="W13" s="32"/>
      <c r="X13" s="41"/>
      <c r="Y13" s="32"/>
      <c r="Z13" s="32"/>
      <c r="AA13" s="41"/>
      <c r="AB13" s="32"/>
      <c r="AC13" s="32"/>
      <c r="AD13" s="41"/>
      <c r="AE13" s="32"/>
      <c r="AF13" s="32"/>
      <c r="AG13" s="41"/>
      <c r="AH13" s="32"/>
      <c r="AI13" s="32"/>
      <c r="AJ13" s="41"/>
      <c r="AK13" s="32"/>
      <c r="AL13" s="32"/>
      <c r="AM13" s="41"/>
      <c r="AN13" s="32"/>
      <c r="AO13" s="32"/>
      <c r="AP13" s="41"/>
      <c r="AQ13" s="32"/>
      <c r="AR13" s="32"/>
      <c r="AS13" s="41"/>
      <c r="AT13" s="32"/>
      <c r="AU13" s="32"/>
      <c r="AV13" s="41"/>
      <c r="AW13" s="32"/>
      <c r="AX13" s="32"/>
      <c r="AY13" s="41"/>
      <c r="AZ13" s="32"/>
      <c r="BA13" s="32"/>
      <c r="BB13" s="41"/>
      <c r="BC13" s="32"/>
      <c r="BD13" s="32"/>
      <c r="BE13" s="41"/>
      <c r="BF13" s="32"/>
      <c r="BG13" s="32"/>
      <c r="BH13" s="41"/>
      <c r="BI13" s="32"/>
      <c r="BJ13" s="32"/>
      <c r="BK13" s="41"/>
      <c r="BL13" s="32"/>
      <c r="BM13" s="32"/>
      <c r="BN13" s="41"/>
      <c r="BO13" s="32"/>
      <c r="BP13" s="32"/>
      <c r="BQ13" s="41"/>
      <c r="BR13" s="32"/>
      <c r="BS13" s="32"/>
      <c r="BT13" s="41"/>
      <c r="BU13" s="32"/>
      <c r="BV13" s="32"/>
      <c r="BW13" s="41"/>
      <c r="BX13" s="32"/>
      <c r="BY13" s="32"/>
      <c r="BZ13" s="41"/>
      <c r="CA13" s="32"/>
      <c r="CB13" s="32"/>
      <c r="CC13" s="41"/>
      <c r="CD13" s="32"/>
      <c r="CE13" s="32"/>
      <c r="CF13" s="41"/>
      <c r="CG13" s="32"/>
      <c r="CH13" s="32"/>
      <c r="CI13" s="41"/>
      <c r="CJ13" s="32"/>
      <c r="CK13" s="32"/>
      <c r="CL13" s="41"/>
      <c r="CM13" s="32"/>
      <c r="CN13" s="32"/>
      <c r="CO13" s="41"/>
      <c r="CP13" s="32"/>
      <c r="CQ13" s="32"/>
      <c r="CR13" s="41"/>
      <c r="CS13" s="32"/>
      <c r="CT13" s="32"/>
      <c r="CU13" s="41"/>
      <c r="CV13" s="32"/>
      <c r="CW13" s="32"/>
      <c r="CX13" s="41"/>
      <c r="CY13" s="32"/>
      <c r="CZ13" s="32"/>
      <c r="DA13" s="41"/>
      <c r="DB13" s="32"/>
      <c r="DC13" s="32"/>
      <c r="DD13" s="41"/>
      <c r="DE13" s="32"/>
      <c r="DF13" s="32"/>
      <c r="DG13" s="41"/>
      <c r="DH13" s="32"/>
      <c r="DI13" s="32"/>
      <c r="DJ13" s="41"/>
      <c r="DK13" s="32"/>
      <c r="DL13" s="32"/>
      <c r="DM13" s="41"/>
      <c r="DN13" s="32"/>
      <c r="DO13" s="32"/>
      <c r="DP13" s="41"/>
      <c r="DQ13" s="32"/>
      <c r="DR13" s="32"/>
      <c r="DS13" s="41"/>
      <c r="DT13" s="32"/>
      <c r="DU13" s="32"/>
      <c r="DV13" s="41"/>
      <c r="DW13" s="32"/>
      <c r="DX13" s="32"/>
      <c r="DY13" s="41"/>
      <c r="DZ13" s="32"/>
      <c r="EA13" s="32"/>
      <c r="EB13" s="41"/>
      <c r="EC13" s="32"/>
      <c r="ED13" s="32"/>
      <c r="EE13" s="41"/>
      <c r="EF13" s="32"/>
      <c r="EG13" s="32"/>
    </row>
    <row r="14" spans="1:140" ht="19.5" thickBot="1" x14ac:dyDescent="0.25">
      <c r="A14" s="16">
        <f ca="1">合計!$A14</f>
        <v>45787</v>
      </c>
      <c r="B14" s="17" t="str">
        <f t="shared" si="4"/>
        <v/>
      </c>
      <c r="C14" s="17">
        <f t="shared" si="0"/>
        <v>0</v>
      </c>
      <c r="D14" s="17">
        <f>IFERROR(E14*92.597%+ROUNDUP(M14,1)+ROUNDUP(N14,1)+ROUNDUP(O14,1)+ROUNDUP(P14,1),0)</f>
        <v>0</v>
      </c>
      <c r="E14" s="17" t="str">
        <f t="shared" si="1"/>
        <v/>
      </c>
      <c r="F14" s="15">
        <f t="shared" si="6"/>
        <v>0</v>
      </c>
      <c r="G14" s="18" t="e">
        <f t="shared" si="2"/>
        <v>#VALUE!</v>
      </c>
      <c r="I14" s="29">
        <f t="shared" ca="1" si="3"/>
        <v>45787</v>
      </c>
      <c r="J14" s="32"/>
      <c r="K14" s="32"/>
      <c r="L14" s="36"/>
      <c r="M14" s="63"/>
      <c r="N14" s="35"/>
      <c r="O14" s="57"/>
      <c r="P14" s="40"/>
      <c r="S14" s="32"/>
      <c r="T14" s="32"/>
      <c r="U14" s="41"/>
      <c r="V14" s="32"/>
      <c r="W14" s="32"/>
      <c r="X14" s="41"/>
      <c r="Y14" s="32"/>
      <c r="Z14" s="32"/>
      <c r="AA14" s="41"/>
      <c r="AB14" s="32"/>
      <c r="AC14" s="32"/>
      <c r="AD14" s="41"/>
      <c r="AE14" s="32"/>
      <c r="AF14" s="32"/>
      <c r="AG14" s="41"/>
      <c r="AH14" s="32"/>
      <c r="AI14" s="32"/>
      <c r="AJ14" s="41"/>
      <c r="AK14" s="32"/>
      <c r="AL14" s="32"/>
      <c r="AM14" s="41"/>
      <c r="AN14" s="32"/>
      <c r="AO14" s="32"/>
      <c r="AP14" s="41"/>
      <c r="AQ14" s="32"/>
      <c r="AR14" s="32"/>
      <c r="AS14" s="41"/>
      <c r="AT14" s="32"/>
      <c r="AU14" s="32"/>
      <c r="AV14" s="41"/>
      <c r="AW14" s="32"/>
      <c r="AX14" s="32"/>
      <c r="AY14" s="41"/>
      <c r="AZ14" s="32"/>
      <c r="BA14" s="32"/>
      <c r="BB14" s="41"/>
      <c r="BC14" s="32"/>
      <c r="BD14" s="32"/>
      <c r="BE14" s="41"/>
      <c r="BF14" s="32"/>
      <c r="BG14" s="32"/>
      <c r="BH14" s="41"/>
      <c r="BI14" s="32"/>
      <c r="BJ14" s="32"/>
      <c r="BK14" s="41"/>
      <c r="BL14" s="32"/>
      <c r="BM14" s="32"/>
      <c r="BN14" s="41"/>
      <c r="BO14" s="32"/>
      <c r="BP14" s="32"/>
      <c r="BQ14" s="41"/>
      <c r="BR14" s="32"/>
      <c r="BS14" s="32"/>
      <c r="BT14" s="41"/>
      <c r="BU14" s="32"/>
      <c r="BV14" s="32"/>
      <c r="BW14" s="41"/>
      <c r="BX14" s="32"/>
      <c r="BY14" s="32"/>
      <c r="BZ14" s="41"/>
      <c r="CA14" s="32"/>
      <c r="CB14" s="32"/>
      <c r="CC14" s="41"/>
      <c r="CD14" s="32"/>
      <c r="CE14" s="32"/>
      <c r="CF14" s="41"/>
      <c r="CG14" s="32"/>
      <c r="CH14" s="32"/>
      <c r="CI14" s="41"/>
      <c r="CJ14" s="32"/>
      <c r="CK14" s="32"/>
      <c r="CL14" s="41"/>
      <c r="CM14" s="32"/>
      <c r="CN14" s="32"/>
      <c r="CO14" s="41"/>
      <c r="CP14" s="32"/>
      <c r="CQ14" s="32"/>
      <c r="CR14" s="41"/>
      <c r="CS14" s="32"/>
      <c r="CT14" s="32"/>
      <c r="CU14" s="41"/>
      <c r="CV14" s="32"/>
      <c r="CW14" s="32"/>
      <c r="CX14" s="41"/>
      <c r="CY14" s="32"/>
      <c r="CZ14" s="32"/>
      <c r="DA14" s="41"/>
      <c r="DB14" s="32"/>
      <c r="DC14" s="32"/>
      <c r="DD14" s="41"/>
      <c r="DE14" s="32"/>
      <c r="DF14" s="32"/>
      <c r="DG14" s="41"/>
      <c r="DH14" s="32"/>
      <c r="DI14" s="32"/>
      <c r="DJ14" s="41"/>
      <c r="DK14" s="32"/>
      <c r="DL14" s="32"/>
      <c r="DM14" s="41"/>
      <c r="DN14" s="32"/>
      <c r="DO14" s="32"/>
      <c r="DP14" s="41"/>
      <c r="DQ14" s="32"/>
      <c r="DR14" s="32"/>
      <c r="DS14" s="41"/>
      <c r="DT14" s="32"/>
      <c r="DU14" s="32"/>
      <c r="DV14" s="41"/>
      <c r="DW14" s="32"/>
      <c r="DX14" s="32"/>
      <c r="DY14" s="41"/>
      <c r="DZ14" s="32"/>
      <c r="EA14" s="32"/>
      <c r="EB14" s="41"/>
      <c r="EC14" s="32"/>
      <c r="ED14" s="32"/>
      <c r="EE14" s="41"/>
      <c r="EF14" s="32"/>
      <c r="EG14" s="32"/>
    </row>
    <row r="15" spans="1:140" ht="19.5" thickBot="1" x14ac:dyDescent="0.25">
      <c r="A15" s="16">
        <f ca="1">合計!$A15</f>
        <v>45788</v>
      </c>
      <c r="B15" s="17" t="str">
        <f t="shared" si="4"/>
        <v/>
      </c>
      <c r="C15" s="17">
        <f t="shared" si="0"/>
        <v>0</v>
      </c>
      <c r="D15" s="17">
        <f t="shared" si="5"/>
        <v>0</v>
      </c>
      <c r="E15" s="17" t="str">
        <f t="shared" si="1"/>
        <v/>
      </c>
      <c r="F15" s="15">
        <f t="shared" si="6"/>
        <v>0</v>
      </c>
      <c r="G15" s="18" t="e">
        <f t="shared" si="2"/>
        <v>#VALUE!</v>
      </c>
      <c r="I15" s="29">
        <f t="shared" ca="1" si="3"/>
        <v>45788</v>
      </c>
      <c r="J15" s="56"/>
      <c r="K15" s="32"/>
      <c r="L15" s="36"/>
      <c r="M15" s="63"/>
      <c r="N15" s="35"/>
      <c r="O15" s="57"/>
      <c r="P15" s="40"/>
      <c r="S15" s="32"/>
      <c r="T15" s="32"/>
      <c r="U15" s="41"/>
      <c r="V15" s="32"/>
      <c r="W15" s="32"/>
      <c r="X15" s="41"/>
      <c r="Y15" s="32"/>
      <c r="Z15" s="32"/>
      <c r="AA15" s="41"/>
      <c r="AB15" s="32"/>
      <c r="AC15" s="32"/>
      <c r="AD15" s="41"/>
      <c r="AE15" s="32"/>
      <c r="AF15" s="32"/>
      <c r="AG15" s="41"/>
      <c r="AH15" s="32"/>
      <c r="AI15" s="32"/>
      <c r="AJ15" s="41"/>
      <c r="AK15" s="32"/>
      <c r="AL15" s="32"/>
      <c r="AM15" s="41"/>
      <c r="AN15" s="32"/>
      <c r="AO15" s="32"/>
      <c r="AP15" s="41"/>
      <c r="AQ15" s="32"/>
      <c r="AR15" s="32"/>
      <c r="AS15" s="41"/>
      <c r="AT15" s="32"/>
      <c r="AU15" s="32"/>
      <c r="AV15" s="41"/>
      <c r="AW15" s="32"/>
      <c r="AX15" s="32"/>
      <c r="AY15" s="41"/>
      <c r="AZ15" s="32"/>
      <c r="BA15" s="32"/>
      <c r="BB15" s="41"/>
      <c r="BC15" s="32"/>
      <c r="BD15" s="32"/>
      <c r="BE15" s="41"/>
      <c r="BF15" s="32"/>
      <c r="BG15" s="32"/>
      <c r="BH15" s="41"/>
      <c r="BI15" s="32"/>
      <c r="BJ15" s="32"/>
      <c r="BK15" s="41"/>
      <c r="BL15" s="32"/>
      <c r="BM15" s="32"/>
      <c r="BN15" s="41"/>
      <c r="BO15" s="32"/>
      <c r="BP15" s="32"/>
      <c r="BQ15" s="41"/>
      <c r="BR15" s="32"/>
      <c r="BS15" s="32"/>
      <c r="BT15" s="41"/>
      <c r="BU15" s="32"/>
      <c r="BV15" s="32"/>
      <c r="BW15" s="41"/>
      <c r="BX15" s="32"/>
      <c r="BY15" s="32"/>
      <c r="BZ15" s="41"/>
      <c r="CA15" s="32"/>
      <c r="CB15" s="32"/>
      <c r="CC15" s="41"/>
      <c r="CD15" s="32"/>
      <c r="CE15" s="32"/>
      <c r="CF15" s="41"/>
      <c r="CG15" s="32"/>
      <c r="CH15" s="32"/>
      <c r="CI15" s="41"/>
      <c r="CJ15" s="32"/>
      <c r="CK15" s="32"/>
      <c r="CL15" s="41"/>
      <c r="CM15" s="32"/>
      <c r="CN15" s="32"/>
      <c r="CO15" s="41"/>
      <c r="CP15" s="32"/>
      <c r="CQ15" s="32"/>
      <c r="CR15" s="41"/>
      <c r="CS15" s="32"/>
      <c r="CT15" s="32"/>
      <c r="CU15" s="41"/>
      <c r="CV15" s="32"/>
      <c r="CW15" s="32"/>
      <c r="CX15" s="41"/>
      <c r="CY15" s="32"/>
      <c r="CZ15" s="32"/>
      <c r="DA15" s="41"/>
      <c r="DB15" s="32"/>
      <c r="DC15" s="32"/>
      <c r="DD15" s="41"/>
      <c r="DE15" s="32"/>
      <c r="DF15" s="32"/>
      <c r="DG15" s="41"/>
      <c r="DH15" s="32"/>
      <c r="DI15" s="32"/>
      <c r="DJ15" s="41"/>
      <c r="DK15" s="32"/>
      <c r="DL15" s="32"/>
      <c r="DM15" s="41"/>
      <c r="DN15" s="32"/>
      <c r="DO15" s="32"/>
      <c r="DP15" s="41"/>
      <c r="DQ15" s="32"/>
      <c r="DR15" s="32"/>
      <c r="DS15" s="41"/>
      <c r="DT15" s="32"/>
      <c r="DU15" s="32"/>
      <c r="DV15" s="41"/>
      <c r="DW15" s="32"/>
      <c r="DX15" s="32"/>
      <c r="DY15" s="41"/>
      <c r="DZ15" s="32"/>
      <c r="EA15" s="32"/>
      <c r="EB15" s="41"/>
      <c r="EC15" s="32"/>
      <c r="ED15" s="32"/>
      <c r="EE15" s="41"/>
      <c r="EF15" s="32"/>
      <c r="EG15" s="32"/>
    </row>
    <row r="16" spans="1:140" ht="19.5" thickBot="1" x14ac:dyDescent="0.25">
      <c r="A16" s="16">
        <f ca="1">合計!$A16</f>
        <v>45789</v>
      </c>
      <c r="B16" s="17" t="str">
        <f t="shared" si="4"/>
        <v/>
      </c>
      <c r="C16" s="17">
        <f t="shared" si="0"/>
        <v>0</v>
      </c>
      <c r="D16" s="17">
        <f t="shared" si="5"/>
        <v>0</v>
      </c>
      <c r="E16" s="17" t="str">
        <f t="shared" si="1"/>
        <v/>
      </c>
      <c r="F16" s="15">
        <f>D16-C16</f>
        <v>0</v>
      </c>
      <c r="G16" s="18" t="e">
        <f t="shared" si="2"/>
        <v>#VALUE!</v>
      </c>
      <c r="I16" s="29">
        <f t="shared" ca="1" si="3"/>
        <v>45789</v>
      </c>
      <c r="J16" s="34"/>
      <c r="K16" s="34"/>
      <c r="L16" s="36"/>
      <c r="M16" s="63"/>
      <c r="N16" s="35"/>
      <c r="O16" s="57"/>
      <c r="P16" s="40"/>
      <c r="S16" s="32"/>
      <c r="T16" s="32"/>
      <c r="U16" s="41"/>
      <c r="V16" s="32"/>
      <c r="W16" s="32"/>
      <c r="X16" s="41"/>
      <c r="Y16" s="32"/>
      <c r="Z16" s="32"/>
      <c r="AA16" s="41"/>
      <c r="AB16" s="32"/>
      <c r="AC16" s="32"/>
      <c r="AD16" s="41"/>
      <c r="AE16" s="32"/>
      <c r="AF16" s="32"/>
      <c r="AG16" s="41"/>
      <c r="AH16" s="32"/>
      <c r="AI16" s="32"/>
      <c r="AJ16" s="41"/>
      <c r="AK16" s="32"/>
      <c r="AL16" s="32"/>
      <c r="AM16" s="41"/>
      <c r="AN16" s="32"/>
      <c r="AO16" s="32"/>
      <c r="AP16" s="41"/>
      <c r="AQ16" s="32"/>
      <c r="AR16" s="32"/>
      <c r="AS16" s="41"/>
      <c r="AT16" s="32"/>
      <c r="AU16" s="32"/>
      <c r="AV16" s="41"/>
      <c r="AW16" s="32"/>
      <c r="AX16" s="32"/>
      <c r="AY16" s="41"/>
      <c r="AZ16" s="32"/>
      <c r="BA16" s="32"/>
      <c r="BB16" s="41"/>
      <c r="BC16" s="32"/>
      <c r="BD16" s="32"/>
      <c r="BE16" s="41"/>
      <c r="BF16" s="32"/>
      <c r="BG16" s="32"/>
      <c r="BH16" s="41"/>
      <c r="BI16" s="32"/>
      <c r="BJ16" s="32"/>
      <c r="BK16" s="41"/>
      <c r="BL16" s="32"/>
      <c r="BM16" s="32"/>
      <c r="BN16" s="41"/>
      <c r="BO16" s="32"/>
      <c r="BP16" s="32"/>
      <c r="BQ16" s="41"/>
      <c r="BR16" s="32"/>
      <c r="BS16" s="32"/>
      <c r="BT16" s="41"/>
      <c r="BU16" s="32"/>
      <c r="BV16" s="32"/>
      <c r="BW16" s="41"/>
      <c r="BX16" s="32"/>
      <c r="BY16" s="32"/>
      <c r="BZ16" s="41"/>
      <c r="CA16" s="32"/>
      <c r="CB16" s="32"/>
      <c r="CC16" s="41"/>
      <c r="CD16" s="32"/>
      <c r="CE16" s="32"/>
      <c r="CF16" s="41"/>
      <c r="CG16" s="32"/>
      <c r="CH16" s="32"/>
      <c r="CI16" s="41"/>
      <c r="CJ16" s="32"/>
      <c r="CK16" s="32"/>
      <c r="CL16" s="41"/>
      <c r="CM16" s="32"/>
      <c r="CN16" s="32"/>
      <c r="CO16" s="41"/>
      <c r="CP16" s="32"/>
      <c r="CQ16" s="32"/>
      <c r="CR16" s="41"/>
      <c r="CS16" s="32"/>
      <c r="CT16" s="32"/>
      <c r="CU16" s="41"/>
      <c r="CV16" s="32"/>
      <c r="CW16" s="32"/>
      <c r="CX16" s="41"/>
      <c r="CY16" s="32"/>
      <c r="CZ16" s="32"/>
      <c r="DA16" s="41"/>
      <c r="DB16" s="32"/>
      <c r="DC16" s="32"/>
      <c r="DD16" s="41"/>
      <c r="DE16" s="32"/>
      <c r="DF16" s="32"/>
      <c r="DG16" s="41"/>
      <c r="DH16" s="32"/>
      <c r="DI16" s="32"/>
      <c r="DJ16" s="41"/>
      <c r="DK16" s="32"/>
      <c r="DL16" s="32"/>
      <c r="DM16" s="41"/>
      <c r="DN16" s="32"/>
      <c r="DO16" s="32"/>
      <c r="DP16" s="41"/>
      <c r="DQ16" s="32"/>
      <c r="DR16" s="32"/>
      <c r="DS16" s="41"/>
      <c r="DT16" s="32"/>
      <c r="DU16" s="32"/>
      <c r="DV16" s="41"/>
      <c r="DW16" s="32"/>
      <c r="DX16" s="32"/>
      <c r="DY16" s="41"/>
      <c r="DZ16" s="32"/>
      <c r="EA16" s="32"/>
      <c r="EB16" s="41"/>
      <c r="EC16" s="32"/>
      <c r="ED16" s="32"/>
      <c r="EE16" s="41"/>
      <c r="EF16" s="32"/>
      <c r="EG16" s="32"/>
    </row>
    <row r="17" spans="1:142" ht="19.5" thickBot="1" x14ac:dyDescent="0.25">
      <c r="A17" s="16">
        <f ca="1">合計!$A17</f>
        <v>45790</v>
      </c>
      <c r="B17" s="17" t="str">
        <f t="shared" si="4"/>
        <v/>
      </c>
      <c r="C17" s="17">
        <f t="shared" si="0"/>
        <v>0</v>
      </c>
      <c r="D17" s="17">
        <f t="shared" si="5"/>
        <v>0</v>
      </c>
      <c r="E17" s="17" t="str">
        <f t="shared" si="1"/>
        <v/>
      </c>
      <c r="F17" s="15">
        <f>D17-C17</f>
        <v>0</v>
      </c>
      <c r="G17" s="18" t="e">
        <f t="shared" si="2"/>
        <v>#VALUE!</v>
      </c>
      <c r="I17" s="29">
        <f t="shared" ca="1" si="3"/>
        <v>45790</v>
      </c>
      <c r="J17" s="32"/>
      <c r="K17" s="32"/>
      <c r="L17" s="36"/>
      <c r="M17" s="63"/>
      <c r="N17" s="35"/>
      <c r="O17" s="57"/>
      <c r="P17" s="40"/>
      <c r="S17" s="32"/>
      <c r="T17" s="32"/>
      <c r="U17" s="41"/>
      <c r="V17" s="32"/>
      <c r="W17" s="32"/>
      <c r="X17" s="41"/>
      <c r="Y17" s="32"/>
      <c r="Z17" s="32"/>
      <c r="AA17" s="41"/>
      <c r="AB17" s="32"/>
      <c r="AC17" s="32"/>
      <c r="AD17" s="41"/>
      <c r="AE17" s="32"/>
      <c r="AF17" s="32"/>
      <c r="AG17" s="41"/>
      <c r="AH17" s="32"/>
      <c r="AI17" s="32"/>
      <c r="AJ17" s="41"/>
      <c r="AK17" s="32"/>
      <c r="AL17" s="32"/>
      <c r="AM17" s="41"/>
      <c r="AN17" s="32"/>
      <c r="AO17" s="32"/>
      <c r="AP17" s="41"/>
      <c r="AQ17" s="32"/>
      <c r="AR17" s="32"/>
      <c r="AS17" s="41"/>
      <c r="AT17" s="32"/>
      <c r="AU17" s="32"/>
      <c r="AV17" s="41"/>
      <c r="AW17" s="32"/>
      <c r="AX17" s="32"/>
      <c r="AY17" s="41"/>
      <c r="AZ17" s="32"/>
      <c r="BA17" s="32"/>
      <c r="BB17" s="41"/>
      <c r="BC17" s="32"/>
      <c r="BD17" s="32"/>
      <c r="BE17" s="41"/>
      <c r="BF17" s="32"/>
      <c r="BG17" s="32"/>
      <c r="BH17" s="41"/>
      <c r="BI17" s="32"/>
      <c r="BJ17" s="32"/>
      <c r="BK17" s="41"/>
      <c r="BL17" s="32"/>
      <c r="BM17" s="32"/>
      <c r="BN17" s="41"/>
      <c r="BO17" s="32"/>
      <c r="BP17" s="32"/>
      <c r="BQ17" s="41"/>
      <c r="BR17" s="32"/>
      <c r="BS17" s="32"/>
      <c r="BT17" s="41"/>
      <c r="BU17" s="32"/>
      <c r="BV17" s="32"/>
      <c r="BW17" s="41"/>
      <c r="BX17" s="32"/>
      <c r="BY17" s="32"/>
      <c r="BZ17" s="41"/>
      <c r="CA17" s="32"/>
      <c r="CB17" s="32"/>
      <c r="CC17" s="41"/>
      <c r="CD17" s="32"/>
      <c r="CE17" s="32"/>
      <c r="CF17" s="41"/>
      <c r="CG17" s="32"/>
      <c r="CH17" s="32"/>
      <c r="CI17" s="41"/>
      <c r="CJ17" s="32"/>
      <c r="CK17" s="32"/>
      <c r="CL17" s="41"/>
      <c r="CM17" s="32"/>
      <c r="CN17" s="32"/>
      <c r="CO17" s="41"/>
      <c r="CP17" s="32"/>
      <c r="CQ17" s="32"/>
      <c r="CR17" s="41"/>
      <c r="CS17" s="32"/>
      <c r="CT17" s="32"/>
      <c r="CU17" s="41"/>
      <c r="CV17" s="32"/>
      <c r="CW17" s="32"/>
      <c r="CX17" s="41"/>
      <c r="CY17" s="32"/>
      <c r="CZ17" s="32"/>
      <c r="DA17" s="41"/>
      <c r="DB17" s="32"/>
      <c r="DC17" s="32"/>
      <c r="DD17" s="41"/>
      <c r="DE17" s="32"/>
      <c r="DF17" s="32"/>
      <c r="DG17" s="41"/>
      <c r="DH17" s="32"/>
      <c r="DI17" s="32"/>
      <c r="DJ17" s="41"/>
      <c r="DK17" s="32"/>
      <c r="DL17" s="32"/>
      <c r="DM17" s="41"/>
      <c r="DN17" s="32"/>
      <c r="DO17" s="32"/>
      <c r="DP17" s="41"/>
      <c r="DQ17" s="32"/>
      <c r="DR17" s="32"/>
      <c r="DS17" s="41"/>
      <c r="DT17" s="32"/>
      <c r="DU17" s="32"/>
      <c r="DV17" s="41"/>
      <c r="DW17" s="32"/>
      <c r="DX17" s="32"/>
      <c r="DY17" s="41"/>
      <c r="DZ17" s="32"/>
      <c r="EA17" s="32"/>
      <c r="EB17" s="41"/>
      <c r="EC17" s="32"/>
      <c r="ED17" s="32"/>
      <c r="EE17" s="41"/>
      <c r="EF17" s="32"/>
      <c r="EG17" s="32"/>
    </row>
    <row r="18" spans="1:142" ht="19.5" thickBot="1" x14ac:dyDescent="0.25">
      <c r="A18" s="16">
        <f ca="1">合計!$A18</f>
        <v>45791</v>
      </c>
      <c r="B18" s="17" t="str">
        <f t="shared" si="4"/>
        <v/>
      </c>
      <c r="C18" s="17">
        <f t="shared" si="0"/>
        <v>0</v>
      </c>
      <c r="D18" s="17">
        <f t="shared" si="5"/>
        <v>0</v>
      </c>
      <c r="E18" s="17" t="str">
        <f t="shared" si="1"/>
        <v/>
      </c>
      <c r="F18" s="15">
        <f>D18-C18</f>
        <v>0</v>
      </c>
      <c r="G18" s="18" t="e">
        <f t="shared" si="2"/>
        <v>#VALUE!</v>
      </c>
      <c r="I18" s="29">
        <f t="shared" ca="1" si="3"/>
        <v>45791</v>
      </c>
      <c r="J18" s="34"/>
      <c r="K18" s="34"/>
      <c r="L18" s="36"/>
      <c r="M18" s="63"/>
      <c r="N18" s="59"/>
      <c r="O18" s="57"/>
      <c r="P18" s="40"/>
      <c r="S18" s="32"/>
      <c r="T18" s="32"/>
      <c r="U18" s="41"/>
      <c r="V18" s="32"/>
      <c r="W18" s="32"/>
      <c r="X18" s="41"/>
      <c r="Y18" s="32"/>
      <c r="Z18" s="32"/>
      <c r="AA18" s="41"/>
      <c r="AB18" s="32"/>
      <c r="AC18" s="32"/>
      <c r="AD18" s="41"/>
      <c r="AE18" s="32"/>
      <c r="AF18" s="32"/>
      <c r="AG18" s="41"/>
      <c r="AH18" s="32"/>
      <c r="AI18" s="32"/>
      <c r="AJ18" s="41"/>
      <c r="AK18" s="32"/>
      <c r="AL18" s="32"/>
      <c r="AM18" s="41"/>
      <c r="AN18" s="32"/>
      <c r="AO18" s="32"/>
      <c r="AP18" s="41"/>
      <c r="AQ18" s="32"/>
      <c r="AR18" s="32"/>
      <c r="AS18" s="41"/>
      <c r="AT18" s="32"/>
      <c r="AU18" s="32"/>
      <c r="AV18" s="41"/>
      <c r="AW18" s="32"/>
      <c r="AX18" s="32"/>
      <c r="AY18" s="41"/>
      <c r="AZ18" s="32"/>
      <c r="BA18" s="32"/>
      <c r="BB18" s="41"/>
      <c r="BC18" s="32"/>
      <c r="BD18" s="32"/>
      <c r="BE18" s="41"/>
      <c r="BF18" s="32"/>
      <c r="BG18" s="32"/>
      <c r="BH18" s="41"/>
      <c r="BI18" s="32"/>
      <c r="BJ18" s="32"/>
      <c r="BK18" s="41"/>
      <c r="BL18" s="32"/>
      <c r="BM18" s="32"/>
      <c r="BN18" s="41"/>
      <c r="BO18" s="32"/>
      <c r="BP18" s="32"/>
      <c r="BQ18" s="41"/>
      <c r="BR18" s="32"/>
      <c r="BS18" s="32"/>
      <c r="BT18" s="41"/>
      <c r="BU18" s="32"/>
      <c r="BV18" s="32"/>
      <c r="BW18" s="41"/>
      <c r="BX18" s="32"/>
      <c r="BY18" s="32"/>
      <c r="BZ18" s="41"/>
      <c r="CA18" s="32"/>
      <c r="CB18" s="32"/>
      <c r="CC18" s="41"/>
      <c r="CD18" s="32"/>
      <c r="CE18" s="32"/>
      <c r="CF18" s="41"/>
      <c r="CG18" s="32"/>
      <c r="CH18" s="32"/>
      <c r="CI18" s="41"/>
      <c r="CJ18" s="32"/>
      <c r="CK18" s="32"/>
      <c r="CL18" s="41"/>
      <c r="CM18" s="32"/>
      <c r="CN18" s="32"/>
      <c r="CO18" s="41"/>
      <c r="CP18" s="32"/>
      <c r="CQ18" s="32"/>
      <c r="CR18" s="41"/>
      <c r="CS18" s="32"/>
      <c r="CT18" s="32"/>
      <c r="CU18" s="41"/>
      <c r="CV18" s="32"/>
      <c r="CW18" s="32"/>
      <c r="CX18" s="41"/>
      <c r="CY18" s="32"/>
      <c r="CZ18" s="32"/>
      <c r="DA18" s="41"/>
      <c r="DB18" s="32"/>
      <c r="DC18" s="32"/>
      <c r="DD18" s="41"/>
      <c r="DE18" s="32"/>
      <c r="DF18" s="32"/>
      <c r="DG18" s="41"/>
      <c r="DH18" s="32"/>
      <c r="DI18" s="32"/>
      <c r="DJ18" s="41"/>
      <c r="DK18" s="32"/>
      <c r="DL18" s="32"/>
      <c r="DM18" s="41"/>
      <c r="DN18" s="32"/>
      <c r="DO18" s="32"/>
      <c r="DP18" s="41"/>
      <c r="DQ18" s="32"/>
      <c r="DR18" s="32"/>
      <c r="DS18" s="41"/>
      <c r="DT18" s="32"/>
      <c r="DU18" s="32"/>
      <c r="DV18" s="41"/>
      <c r="DW18" s="32"/>
      <c r="DX18" s="32"/>
      <c r="DY18" s="41"/>
      <c r="DZ18" s="32"/>
      <c r="EA18" s="32"/>
      <c r="EB18" s="41"/>
      <c r="EC18" s="32"/>
      <c r="ED18" s="32"/>
      <c r="EE18" s="41"/>
      <c r="EF18" s="32"/>
      <c r="EG18" s="32"/>
    </row>
    <row r="19" spans="1:142" ht="19.5" thickBot="1" x14ac:dyDescent="0.25">
      <c r="A19" s="16">
        <f ca="1">合計!$A19</f>
        <v>45792</v>
      </c>
      <c r="B19" s="17" t="str">
        <f>IF(K19="","",K19)</f>
        <v/>
      </c>
      <c r="C19" s="17">
        <f t="shared" si="0"/>
        <v>0</v>
      </c>
      <c r="D19" s="17">
        <f t="shared" si="5"/>
        <v>0</v>
      </c>
      <c r="E19" s="17" t="str">
        <f t="shared" si="1"/>
        <v/>
      </c>
      <c r="F19" s="15">
        <f t="shared" si="6"/>
        <v>0</v>
      </c>
      <c r="G19" s="18" t="e">
        <f t="shared" si="2"/>
        <v>#VALUE!</v>
      </c>
      <c r="I19" s="29">
        <f t="shared" ca="1" si="3"/>
        <v>45792</v>
      </c>
      <c r="J19" s="34"/>
      <c r="K19" s="34"/>
      <c r="L19" s="36"/>
      <c r="M19" s="63"/>
      <c r="N19" s="59"/>
      <c r="O19" s="57"/>
      <c r="P19" s="40"/>
      <c r="S19" s="32"/>
      <c r="T19" s="32"/>
      <c r="U19" s="41"/>
      <c r="V19" s="32"/>
      <c r="W19" s="32"/>
      <c r="X19" s="41"/>
      <c r="Y19" s="32"/>
      <c r="Z19" s="32"/>
      <c r="AA19" s="41"/>
      <c r="AB19" s="32"/>
      <c r="AC19" s="32"/>
      <c r="AD19" s="41"/>
      <c r="AE19" s="32"/>
      <c r="AF19" s="32"/>
      <c r="AG19" s="41"/>
      <c r="AH19" s="32"/>
      <c r="AI19" s="32"/>
      <c r="AJ19" s="41"/>
      <c r="AK19" s="32"/>
      <c r="AL19" s="32"/>
      <c r="AM19" s="41"/>
      <c r="AN19" s="32"/>
      <c r="AO19" s="32"/>
      <c r="AP19" s="41"/>
      <c r="AQ19" s="32"/>
      <c r="AR19" s="32"/>
      <c r="AS19" s="41"/>
      <c r="AT19" s="32"/>
      <c r="AU19" s="32"/>
      <c r="AV19" s="41"/>
      <c r="AW19" s="32"/>
      <c r="AX19" s="32"/>
      <c r="AY19" s="41"/>
      <c r="AZ19" s="32"/>
      <c r="BA19" s="32"/>
      <c r="BB19" s="41"/>
      <c r="BC19" s="32"/>
      <c r="BD19" s="32"/>
      <c r="BE19" s="41"/>
      <c r="BF19" s="32"/>
      <c r="BG19" s="32"/>
      <c r="BH19" s="41"/>
      <c r="BI19" s="32"/>
      <c r="BJ19" s="32"/>
      <c r="BK19" s="41"/>
      <c r="BL19" s="32"/>
      <c r="BM19" s="32"/>
      <c r="BN19" s="41"/>
      <c r="BO19" s="32"/>
      <c r="BP19" s="32"/>
      <c r="BQ19" s="41"/>
      <c r="BR19" s="32"/>
      <c r="BS19" s="32"/>
      <c r="BT19" s="41"/>
      <c r="BU19" s="32"/>
      <c r="BV19" s="32"/>
      <c r="BW19" s="41"/>
      <c r="BX19" s="32"/>
      <c r="BY19" s="32"/>
      <c r="BZ19" s="41"/>
      <c r="CA19" s="32"/>
      <c r="CB19" s="32"/>
      <c r="CC19" s="41"/>
      <c r="CD19" s="32"/>
      <c r="CE19" s="32"/>
      <c r="CF19" s="41"/>
      <c r="CG19" s="32"/>
      <c r="CH19" s="32"/>
      <c r="CI19" s="41"/>
      <c r="CJ19" s="32"/>
      <c r="CK19" s="32"/>
      <c r="CL19" s="41"/>
      <c r="CM19" s="32"/>
      <c r="CN19" s="32"/>
      <c r="CO19" s="41"/>
      <c r="CP19" s="32"/>
      <c r="CQ19" s="32"/>
      <c r="CR19" s="41"/>
      <c r="CS19" s="32"/>
      <c r="CT19" s="32"/>
      <c r="CU19" s="41"/>
      <c r="CV19" s="32"/>
      <c r="CW19" s="32"/>
      <c r="CX19" s="41"/>
      <c r="CY19" s="32"/>
      <c r="CZ19" s="32"/>
      <c r="DA19" s="41"/>
      <c r="DB19" s="32"/>
      <c r="DC19" s="32"/>
      <c r="DD19" s="41"/>
      <c r="DE19" s="32"/>
      <c r="DF19" s="32"/>
      <c r="DG19" s="41"/>
      <c r="DH19" s="32"/>
      <c r="DI19" s="32"/>
      <c r="DJ19" s="41"/>
      <c r="DK19" s="32"/>
      <c r="DL19" s="32"/>
      <c r="DM19" s="41"/>
      <c r="DN19" s="32"/>
      <c r="DO19" s="32"/>
      <c r="DP19" s="41"/>
      <c r="DQ19" s="32"/>
      <c r="DR19" s="32"/>
      <c r="DS19" s="41"/>
      <c r="DT19" s="32"/>
      <c r="DU19" s="32"/>
      <c r="DV19" s="41"/>
      <c r="DW19" s="32"/>
      <c r="DX19" s="32"/>
      <c r="DY19" s="41"/>
      <c r="DZ19" s="32"/>
      <c r="EA19" s="32"/>
      <c r="EB19" s="41"/>
      <c r="EC19" s="32"/>
      <c r="ED19" s="32"/>
      <c r="EE19" s="41"/>
      <c r="EF19" s="32"/>
      <c r="EG19" s="32"/>
    </row>
    <row r="20" spans="1:142" ht="19.5" thickBot="1" x14ac:dyDescent="0.25">
      <c r="A20" s="16">
        <f ca="1">合計!$A20</f>
        <v>45793</v>
      </c>
      <c r="B20" s="17" t="str">
        <f t="shared" si="4"/>
        <v/>
      </c>
      <c r="C20" s="17">
        <f t="shared" si="0"/>
        <v>0</v>
      </c>
      <c r="D20" s="17">
        <f t="shared" si="5"/>
        <v>0</v>
      </c>
      <c r="E20" s="17" t="str">
        <f t="shared" si="1"/>
        <v/>
      </c>
      <c r="F20" s="15">
        <f t="shared" si="6"/>
        <v>0</v>
      </c>
      <c r="G20" s="18" t="e">
        <f t="shared" si="2"/>
        <v>#VALUE!</v>
      </c>
      <c r="I20" s="29">
        <f t="shared" ca="1" si="3"/>
        <v>45793</v>
      </c>
      <c r="J20" s="32"/>
      <c r="K20" s="34"/>
      <c r="L20" s="36"/>
      <c r="M20" s="63"/>
      <c r="N20" s="59"/>
      <c r="O20" s="57"/>
      <c r="P20" s="36"/>
      <c r="Q20" s="36"/>
      <c r="R20" s="43"/>
      <c r="S20" s="32"/>
      <c r="T20" s="32"/>
      <c r="U20" s="41"/>
      <c r="V20" s="32"/>
      <c r="W20" s="32"/>
      <c r="X20" s="41"/>
      <c r="Y20" s="32"/>
      <c r="Z20" s="32"/>
      <c r="AA20" s="41"/>
      <c r="AB20" s="32"/>
      <c r="AC20" s="32"/>
      <c r="AD20" s="41"/>
      <c r="AE20" s="32"/>
      <c r="AF20" s="32"/>
      <c r="AG20" s="41"/>
      <c r="AH20" s="32"/>
      <c r="AI20" s="32"/>
      <c r="AJ20" s="41"/>
      <c r="AK20" s="32"/>
      <c r="AL20" s="32"/>
      <c r="AM20" s="41"/>
      <c r="AN20" s="32"/>
      <c r="AO20" s="32"/>
      <c r="AP20" s="41"/>
      <c r="AQ20" s="32"/>
      <c r="AR20" s="32"/>
      <c r="AS20" s="41"/>
      <c r="AT20" s="32"/>
      <c r="AU20" s="32"/>
      <c r="AV20" s="41"/>
      <c r="AW20" s="32"/>
      <c r="AX20" s="32"/>
      <c r="AY20" s="41"/>
      <c r="AZ20" s="32"/>
      <c r="BA20" s="32"/>
      <c r="BB20" s="41"/>
      <c r="BC20" s="32"/>
      <c r="BD20" s="32"/>
      <c r="BE20" s="41"/>
      <c r="BF20" s="32"/>
      <c r="BG20" s="32"/>
      <c r="BH20" s="41"/>
      <c r="BI20" s="32"/>
      <c r="BJ20" s="32"/>
      <c r="BK20" s="41"/>
      <c r="BL20" s="32"/>
      <c r="BM20" s="32"/>
      <c r="BN20" s="41"/>
      <c r="BO20" s="32"/>
      <c r="BP20" s="32"/>
      <c r="BQ20" s="41"/>
      <c r="BR20" s="32"/>
      <c r="BS20" s="32"/>
      <c r="BT20" s="41"/>
      <c r="BU20" s="32"/>
      <c r="BV20" s="32"/>
      <c r="BW20" s="41"/>
      <c r="BX20" s="32"/>
      <c r="BY20" s="32"/>
      <c r="BZ20" s="41"/>
      <c r="CA20" s="32"/>
      <c r="CB20" s="32"/>
      <c r="CC20" s="41"/>
      <c r="CD20" s="32"/>
      <c r="CE20" s="32"/>
      <c r="CF20" s="41"/>
      <c r="CG20" s="32"/>
      <c r="CH20" s="32"/>
      <c r="CI20" s="41"/>
      <c r="CJ20" s="32"/>
      <c r="CK20" s="32"/>
      <c r="CL20" s="41"/>
      <c r="CM20" s="32"/>
      <c r="CN20" s="32"/>
      <c r="CO20" s="41"/>
      <c r="CP20" s="32"/>
      <c r="CQ20" s="32"/>
      <c r="CR20" s="41"/>
      <c r="CS20" s="32"/>
      <c r="CT20" s="32"/>
      <c r="CU20" s="41"/>
      <c r="CV20" s="32"/>
      <c r="CW20" s="32"/>
      <c r="CX20" s="41"/>
      <c r="CY20" s="32"/>
      <c r="CZ20" s="32"/>
      <c r="DA20" s="41"/>
      <c r="DB20" s="32"/>
      <c r="DC20" s="32"/>
      <c r="DD20" s="41"/>
      <c r="DE20" s="32"/>
      <c r="DF20" s="32"/>
      <c r="DG20" s="41"/>
      <c r="DH20" s="32"/>
      <c r="DI20" s="32"/>
      <c r="DJ20" s="41"/>
      <c r="DK20" s="32"/>
      <c r="DL20" s="32"/>
      <c r="DM20" s="41"/>
      <c r="DN20" s="32"/>
      <c r="DO20" s="32"/>
      <c r="DP20" s="41"/>
      <c r="DQ20" s="32"/>
      <c r="DR20" s="32"/>
      <c r="DS20" s="41"/>
      <c r="DT20" s="32"/>
      <c r="DU20" s="32"/>
      <c r="DV20" s="41"/>
      <c r="DW20" s="32"/>
      <c r="DX20" s="32"/>
      <c r="DY20" s="41"/>
      <c r="DZ20" s="32"/>
      <c r="EA20" s="32"/>
      <c r="EB20" s="41"/>
      <c r="EC20" s="32"/>
      <c r="ED20" s="32"/>
      <c r="EE20" s="41"/>
      <c r="EF20" s="32"/>
      <c r="EG20" s="32"/>
      <c r="EI20" s="43"/>
    </row>
    <row r="21" spans="1:142" ht="19.5" thickBot="1" x14ac:dyDescent="0.25">
      <c r="A21" s="16">
        <f ca="1">合計!$A21</f>
        <v>45794</v>
      </c>
      <c r="B21" s="17" t="str">
        <f t="shared" si="4"/>
        <v/>
      </c>
      <c r="C21" s="17">
        <f t="shared" si="0"/>
        <v>0</v>
      </c>
      <c r="D21" s="17">
        <f t="shared" si="5"/>
        <v>0</v>
      </c>
      <c r="E21" s="17" t="str">
        <f t="shared" si="1"/>
        <v/>
      </c>
      <c r="F21" s="15">
        <f t="shared" si="6"/>
        <v>0</v>
      </c>
      <c r="G21" s="18" t="e">
        <f t="shared" si="2"/>
        <v>#VALUE!</v>
      </c>
      <c r="I21" s="29">
        <f t="shared" ca="1" si="3"/>
        <v>45794</v>
      </c>
      <c r="J21" s="32"/>
      <c r="K21" s="34"/>
      <c r="L21" s="36"/>
      <c r="M21" s="63"/>
      <c r="N21" s="35"/>
      <c r="O21" s="57"/>
      <c r="P21" s="36"/>
      <c r="Q21" s="36"/>
      <c r="R21" s="43"/>
      <c r="S21" s="32"/>
      <c r="T21" s="32"/>
      <c r="U21" s="41"/>
      <c r="V21" s="32"/>
      <c r="W21" s="32"/>
      <c r="X21" s="41"/>
      <c r="Y21" s="32"/>
      <c r="Z21" s="32"/>
      <c r="AA21" s="41"/>
      <c r="AB21" s="32"/>
      <c r="AC21" s="32"/>
      <c r="AD21" s="41"/>
      <c r="AE21" s="32"/>
      <c r="AF21" s="32"/>
      <c r="AG21" s="41"/>
      <c r="AH21" s="32"/>
      <c r="AI21" s="32"/>
      <c r="AJ21" s="41"/>
      <c r="AK21" s="32"/>
      <c r="AL21" s="32"/>
      <c r="AM21" s="41"/>
      <c r="AN21" s="32"/>
      <c r="AO21" s="32"/>
      <c r="AP21" s="41"/>
      <c r="AQ21" s="32"/>
      <c r="AR21" s="32"/>
      <c r="AS21" s="41"/>
      <c r="AT21" s="32"/>
      <c r="AU21" s="32"/>
      <c r="AV21" s="41"/>
      <c r="AW21" s="32"/>
      <c r="AX21" s="32"/>
      <c r="AY21" s="41"/>
      <c r="AZ21" s="32"/>
      <c r="BA21" s="32"/>
      <c r="BB21" s="41"/>
      <c r="BC21" s="32"/>
      <c r="BD21" s="32"/>
      <c r="BE21" s="41"/>
      <c r="BF21" s="32"/>
      <c r="BG21" s="32"/>
      <c r="BH21" s="41"/>
      <c r="BI21" s="32"/>
      <c r="BJ21" s="32"/>
      <c r="BK21" s="41"/>
      <c r="BL21" s="32"/>
      <c r="BM21" s="32"/>
      <c r="BN21" s="41"/>
      <c r="BO21" s="32"/>
      <c r="BP21" s="32"/>
      <c r="BQ21" s="41"/>
      <c r="BR21" s="32"/>
      <c r="BS21" s="32"/>
      <c r="BT21" s="41"/>
      <c r="BU21" s="32"/>
      <c r="BV21" s="32"/>
      <c r="BW21" s="41"/>
      <c r="BX21" s="32"/>
      <c r="BY21" s="32"/>
      <c r="BZ21" s="41"/>
      <c r="CA21" s="32"/>
      <c r="CB21" s="32"/>
      <c r="CC21" s="41"/>
      <c r="CD21" s="32"/>
      <c r="CE21" s="32"/>
      <c r="CF21" s="41"/>
      <c r="CG21" s="32"/>
      <c r="CH21" s="32"/>
      <c r="CI21" s="41"/>
      <c r="CJ21" s="32"/>
      <c r="CK21" s="32"/>
      <c r="CL21" s="41"/>
      <c r="CM21" s="32"/>
      <c r="CN21" s="32"/>
      <c r="CO21" s="41"/>
      <c r="CP21" s="32"/>
      <c r="CQ21" s="32"/>
      <c r="CR21" s="41"/>
      <c r="CS21" s="32"/>
      <c r="CT21" s="32"/>
      <c r="CU21" s="41"/>
      <c r="CV21" s="32"/>
      <c r="CW21" s="32"/>
      <c r="CX21" s="41"/>
      <c r="CY21" s="32"/>
      <c r="CZ21" s="32"/>
      <c r="DA21" s="41"/>
      <c r="DB21" s="32"/>
      <c r="DC21" s="32"/>
      <c r="DD21" s="41"/>
      <c r="DE21" s="32"/>
      <c r="DF21" s="32"/>
      <c r="DG21" s="41"/>
      <c r="DH21" s="32"/>
      <c r="DI21" s="32"/>
      <c r="DJ21" s="41"/>
      <c r="DK21" s="32"/>
      <c r="DL21" s="32"/>
      <c r="DM21" s="41"/>
      <c r="DN21" s="32"/>
      <c r="DO21" s="32"/>
      <c r="DP21" s="41"/>
      <c r="DQ21" s="32"/>
      <c r="DR21" s="32"/>
      <c r="DS21" s="41"/>
      <c r="DT21" s="32"/>
      <c r="DU21" s="32"/>
      <c r="DV21" s="41"/>
      <c r="DW21" s="32"/>
      <c r="DX21" s="32"/>
      <c r="DY21" s="41"/>
      <c r="DZ21" s="32"/>
      <c r="EA21" s="32"/>
      <c r="EB21" s="41"/>
      <c r="EC21" s="32"/>
      <c r="ED21" s="32"/>
      <c r="EE21" s="41"/>
      <c r="EF21" s="32"/>
      <c r="EG21" s="32"/>
      <c r="EI21" s="43"/>
    </row>
    <row r="22" spans="1:142" ht="19.5" thickBot="1" x14ac:dyDescent="0.25">
      <c r="A22" s="16">
        <f ca="1">合計!$A22</f>
        <v>45795</v>
      </c>
      <c r="B22" s="17" t="str">
        <f t="shared" si="4"/>
        <v/>
      </c>
      <c r="C22" s="17">
        <f t="shared" si="0"/>
        <v>0</v>
      </c>
      <c r="D22" s="17">
        <f t="shared" si="5"/>
        <v>0</v>
      </c>
      <c r="E22" s="17" t="str">
        <f t="shared" si="1"/>
        <v/>
      </c>
      <c r="F22" s="15">
        <f t="shared" si="6"/>
        <v>0</v>
      </c>
      <c r="G22" s="18" t="e">
        <f t="shared" si="2"/>
        <v>#VALUE!</v>
      </c>
      <c r="I22" s="29">
        <f t="shared" ca="1" si="3"/>
        <v>45795</v>
      </c>
      <c r="J22" s="32"/>
      <c r="K22" s="34"/>
      <c r="L22" s="36"/>
      <c r="M22" s="63"/>
      <c r="N22" s="35"/>
      <c r="O22" s="57"/>
      <c r="P22" s="36"/>
      <c r="Q22" s="36"/>
      <c r="R22" s="43"/>
      <c r="S22" s="32"/>
      <c r="T22" s="32"/>
      <c r="U22" s="41"/>
      <c r="V22" s="32"/>
      <c r="W22" s="32"/>
      <c r="X22" s="41"/>
      <c r="Y22" s="32"/>
      <c r="Z22" s="32"/>
      <c r="AA22" s="41"/>
      <c r="AB22" s="32"/>
      <c r="AC22" s="32"/>
      <c r="AD22" s="41"/>
      <c r="AE22" s="32"/>
      <c r="AF22" s="32"/>
      <c r="AG22" s="41"/>
      <c r="AH22" s="32"/>
      <c r="AI22" s="32"/>
      <c r="AJ22" s="41"/>
      <c r="AK22" s="32"/>
      <c r="AL22" s="32"/>
      <c r="AM22" s="41"/>
      <c r="AN22" s="32"/>
      <c r="AO22" s="32"/>
      <c r="AP22" s="41"/>
      <c r="AQ22" s="32"/>
      <c r="AR22" s="32"/>
      <c r="AS22" s="41"/>
      <c r="AT22" s="32"/>
      <c r="AU22" s="32"/>
      <c r="AV22" s="41"/>
      <c r="AW22" s="32"/>
      <c r="AX22" s="32"/>
      <c r="AY22" s="41"/>
      <c r="AZ22" s="32"/>
      <c r="BA22" s="32"/>
      <c r="BB22" s="41"/>
      <c r="BC22" s="32"/>
      <c r="BD22" s="32"/>
      <c r="BE22" s="41"/>
      <c r="BF22" s="32"/>
      <c r="BG22" s="32"/>
      <c r="BH22" s="41"/>
      <c r="BI22" s="32"/>
      <c r="BJ22" s="32"/>
      <c r="BK22" s="41"/>
      <c r="BL22" s="32"/>
      <c r="BM22" s="32"/>
      <c r="BN22" s="41"/>
      <c r="BO22" s="32"/>
      <c r="BP22" s="32"/>
      <c r="BQ22" s="41"/>
      <c r="BR22" s="32"/>
      <c r="BS22" s="32"/>
      <c r="BT22" s="41"/>
      <c r="BU22" s="32"/>
      <c r="BV22" s="32"/>
      <c r="BW22" s="41"/>
      <c r="BX22" s="32"/>
      <c r="BY22" s="32"/>
      <c r="BZ22" s="41"/>
      <c r="CA22" s="32"/>
      <c r="CB22" s="32"/>
      <c r="CC22" s="41"/>
      <c r="CD22" s="32"/>
      <c r="CE22" s="32"/>
      <c r="CF22" s="41"/>
      <c r="CG22" s="32"/>
      <c r="CH22" s="32"/>
      <c r="CI22" s="41"/>
      <c r="CJ22" s="32"/>
      <c r="CK22" s="32"/>
      <c r="CL22" s="41"/>
      <c r="CM22" s="32"/>
      <c r="CN22" s="32"/>
      <c r="CO22" s="41"/>
      <c r="CP22" s="32"/>
      <c r="CQ22" s="32"/>
      <c r="CR22" s="41"/>
      <c r="CS22" s="32"/>
      <c r="CT22" s="32"/>
      <c r="CU22" s="41"/>
      <c r="CV22" s="32"/>
      <c r="CW22" s="32"/>
      <c r="CX22" s="41"/>
      <c r="CY22" s="32"/>
      <c r="CZ22" s="32"/>
      <c r="DA22" s="41"/>
      <c r="DB22" s="32"/>
      <c r="DC22" s="32"/>
      <c r="DD22" s="41"/>
      <c r="DE22" s="32"/>
      <c r="DF22" s="32"/>
      <c r="DG22" s="41"/>
      <c r="DH22" s="32"/>
      <c r="DI22" s="32"/>
      <c r="DJ22" s="41"/>
      <c r="DK22" s="32"/>
      <c r="DL22" s="32"/>
      <c r="DM22" s="41"/>
      <c r="DN22" s="32"/>
      <c r="DO22" s="32"/>
      <c r="DP22" s="41"/>
      <c r="DQ22" s="32"/>
      <c r="DR22" s="32"/>
      <c r="DS22" s="41"/>
      <c r="DT22" s="32"/>
      <c r="DU22" s="32"/>
      <c r="DV22" s="41"/>
      <c r="DW22" s="32"/>
      <c r="DX22" s="32"/>
      <c r="DY22" s="41"/>
      <c r="DZ22" s="32"/>
      <c r="EA22" s="32"/>
      <c r="EB22" s="41"/>
      <c r="EC22" s="32"/>
      <c r="ED22" s="32"/>
      <c r="EE22" s="41"/>
      <c r="EF22" s="32"/>
      <c r="EG22" s="32"/>
      <c r="EI22" s="43"/>
    </row>
    <row r="23" spans="1:142" ht="19.5" thickBot="1" x14ac:dyDescent="0.25">
      <c r="A23" s="16">
        <f ca="1">合計!$A23</f>
        <v>45796</v>
      </c>
      <c r="B23" s="17" t="str">
        <f t="shared" si="4"/>
        <v/>
      </c>
      <c r="C23" s="17">
        <f t="shared" si="0"/>
        <v>0</v>
      </c>
      <c r="D23" s="17">
        <f t="shared" si="5"/>
        <v>0</v>
      </c>
      <c r="E23" s="17" t="str">
        <f t="shared" si="1"/>
        <v/>
      </c>
      <c r="F23" s="15">
        <f t="shared" si="6"/>
        <v>0</v>
      </c>
      <c r="G23" s="18" t="e">
        <f t="shared" si="2"/>
        <v>#VALUE!</v>
      </c>
      <c r="I23" s="29">
        <f t="shared" ca="1" si="3"/>
        <v>45796</v>
      </c>
      <c r="J23" s="34"/>
      <c r="K23" s="34"/>
      <c r="L23" s="36"/>
      <c r="M23" s="63"/>
      <c r="N23" s="35"/>
      <c r="O23" s="57"/>
      <c r="P23" s="40"/>
      <c r="Q23" s="36"/>
      <c r="R23" s="43"/>
      <c r="S23" s="32"/>
      <c r="T23" s="32"/>
      <c r="U23" s="41"/>
      <c r="V23" s="32"/>
      <c r="W23" s="32"/>
      <c r="X23" s="41"/>
      <c r="Y23" s="32"/>
      <c r="Z23" s="32"/>
      <c r="AA23" s="41"/>
      <c r="AB23" s="32"/>
      <c r="AC23" s="32"/>
      <c r="AD23" s="41"/>
      <c r="AE23" s="32"/>
      <c r="AF23" s="32"/>
      <c r="AG23" s="41"/>
      <c r="AH23" s="32"/>
      <c r="AI23" s="32"/>
      <c r="AJ23" s="41"/>
      <c r="AK23" s="32"/>
      <c r="AL23" s="32"/>
      <c r="AM23" s="41"/>
      <c r="AN23" s="32"/>
      <c r="AO23" s="32"/>
      <c r="AP23" s="41"/>
      <c r="AQ23" s="32"/>
      <c r="AR23" s="32"/>
      <c r="AS23" s="41"/>
      <c r="AT23" s="32"/>
      <c r="AU23" s="32"/>
      <c r="AV23" s="41"/>
      <c r="AW23" s="32"/>
      <c r="AX23" s="32"/>
      <c r="AY23" s="41"/>
      <c r="AZ23" s="32"/>
      <c r="BA23" s="32"/>
      <c r="BB23" s="41"/>
      <c r="BC23" s="32"/>
      <c r="BD23" s="32"/>
      <c r="BE23" s="41"/>
      <c r="BF23" s="32"/>
      <c r="BG23" s="32"/>
      <c r="BH23" s="41"/>
      <c r="BI23" s="32"/>
      <c r="BJ23" s="32"/>
      <c r="BK23" s="41"/>
      <c r="BL23" s="32"/>
      <c r="BM23" s="32"/>
      <c r="BN23" s="41"/>
      <c r="BO23" s="32"/>
      <c r="BP23" s="32"/>
      <c r="BQ23" s="41"/>
      <c r="BR23" s="32"/>
      <c r="BS23" s="32"/>
      <c r="BT23" s="41"/>
      <c r="BU23" s="32"/>
      <c r="BV23" s="32"/>
      <c r="BW23" s="41"/>
      <c r="BX23" s="32"/>
      <c r="BY23" s="32"/>
      <c r="BZ23" s="41"/>
      <c r="CA23" s="32"/>
      <c r="CB23" s="32"/>
      <c r="CC23" s="41"/>
      <c r="CD23" s="32"/>
      <c r="CE23" s="32"/>
      <c r="CF23" s="41"/>
      <c r="CG23" s="32"/>
      <c r="CH23" s="32"/>
      <c r="CI23" s="41"/>
      <c r="CJ23" s="32"/>
      <c r="CK23" s="32"/>
      <c r="CL23" s="41"/>
      <c r="CM23" s="32"/>
      <c r="CN23" s="32"/>
      <c r="CO23" s="41"/>
      <c r="CP23" s="32"/>
      <c r="CQ23" s="32"/>
      <c r="CR23" s="41"/>
      <c r="CS23" s="32"/>
      <c r="CT23" s="32"/>
      <c r="CU23" s="41"/>
      <c r="CV23" s="32"/>
      <c r="CW23" s="32"/>
      <c r="CX23" s="41"/>
      <c r="CY23" s="32"/>
      <c r="CZ23" s="32"/>
      <c r="DA23" s="41"/>
      <c r="DB23" s="32"/>
      <c r="DC23" s="32"/>
      <c r="DD23" s="41"/>
      <c r="DE23" s="32"/>
      <c r="DF23" s="32"/>
      <c r="DG23" s="41"/>
      <c r="DH23" s="32"/>
      <c r="DI23" s="32"/>
      <c r="DJ23" s="41"/>
      <c r="DK23" s="32"/>
      <c r="DL23" s="32"/>
      <c r="DM23" s="41"/>
      <c r="DN23" s="32"/>
      <c r="DO23" s="32"/>
      <c r="DP23" s="41"/>
      <c r="DQ23" s="32"/>
      <c r="DR23" s="32"/>
      <c r="DS23" s="41"/>
      <c r="DT23" s="32"/>
      <c r="DU23" s="32"/>
      <c r="DV23" s="41"/>
      <c r="DW23" s="32"/>
      <c r="DX23" s="32"/>
      <c r="DY23" s="41"/>
      <c r="DZ23" s="32"/>
      <c r="EA23" s="32"/>
      <c r="EB23" s="41"/>
      <c r="EC23" s="32"/>
      <c r="ED23" s="32"/>
      <c r="EE23" s="41"/>
      <c r="EF23" s="32"/>
      <c r="EG23" s="32"/>
      <c r="EI23" s="43"/>
    </row>
    <row r="24" spans="1:142" ht="19.5" thickBot="1" x14ac:dyDescent="0.25">
      <c r="A24" s="16">
        <f ca="1">合計!$A24</f>
        <v>45797</v>
      </c>
      <c r="B24" s="17" t="str">
        <f t="shared" si="4"/>
        <v/>
      </c>
      <c r="C24" s="17">
        <f t="shared" si="0"/>
        <v>0</v>
      </c>
      <c r="D24" s="17">
        <f t="shared" si="5"/>
        <v>0</v>
      </c>
      <c r="E24" s="17" t="str">
        <f t="shared" si="1"/>
        <v/>
      </c>
      <c r="F24" s="15">
        <f t="shared" si="6"/>
        <v>0</v>
      </c>
      <c r="G24" s="18" t="e">
        <f t="shared" si="2"/>
        <v>#VALUE!</v>
      </c>
      <c r="I24" s="29">
        <f t="shared" ca="1" si="3"/>
        <v>45797</v>
      </c>
      <c r="J24" s="34"/>
      <c r="K24" s="34"/>
      <c r="L24" s="36"/>
      <c r="M24" s="63"/>
      <c r="N24" s="35"/>
      <c r="O24" s="57"/>
      <c r="P24" s="40"/>
      <c r="Q24" s="36"/>
      <c r="R24" s="43"/>
      <c r="S24" s="32"/>
      <c r="T24" s="32"/>
      <c r="U24" s="41"/>
      <c r="V24" s="32"/>
      <c r="W24" s="32"/>
      <c r="X24" s="41"/>
      <c r="Y24" s="32"/>
      <c r="Z24" s="32"/>
      <c r="AA24" s="41"/>
      <c r="AB24" s="32"/>
      <c r="AC24" s="32"/>
      <c r="AD24" s="41"/>
      <c r="AE24" s="32"/>
      <c r="AF24" s="32"/>
      <c r="AG24" s="41"/>
      <c r="AH24" s="32"/>
      <c r="AI24" s="32"/>
      <c r="AJ24" s="41"/>
      <c r="AK24" s="32"/>
      <c r="AL24" s="32"/>
      <c r="AM24" s="41"/>
      <c r="AN24" s="32"/>
      <c r="AO24" s="32"/>
      <c r="AP24" s="41"/>
      <c r="AQ24" s="32"/>
      <c r="AR24" s="32"/>
      <c r="AS24" s="41"/>
      <c r="AT24" s="32"/>
      <c r="AU24" s="32"/>
      <c r="AV24" s="41"/>
      <c r="AW24" s="32"/>
      <c r="AX24" s="32"/>
      <c r="AY24" s="41"/>
      <c r="AZ24" s="32"/>
      <c r="BA24" s="32"/>
      <c r="BB24" s="41"/>
      <c r="BC24" s="32"/>
      <c r="BD24" s="32"/>
      <c r="BE24" s="41"/>
      <c r="BF24" s="32"/>
      <c r="BG24" s="32"/>
      <c r="BH24" s="41"/>
      <c r="BI24" s="32"/>
      <c r="BJ24" s="32"/>
      <c r="BK24" s="41"/>
      <c r="BL24" s="32"/>
      <c r="BM24" s="32"/>
      <c r="BN24" s="41"/>
      <c r="BO24" s="32"/>
      <c r="BP24" s="32"/>
      <c r="BQ24" s="41"/>
      <c r="BR24" s="32"/>
      <c r="BS24" s="32"/>
      <c r="BT24" s="41"/>
      <c r="BU24" s="32"/>
      <c r="BV24" s="32"/>
      <c r="BW24" s="41"/>
      <c r="BX24" s="32"/>
      <c r="BY24" s="32"/>
      <c r="BZ24" s="41"/>
      <c r="CA24" s="32"/>
      <c r="CB24" s="32"/>
      <c r="CC24" s="41"/>
      <c r="CD24" s="32"/>
      <c r="CE24" s="32"/>
      <c r="CF24" s="41"/>
      <c r="CG24" s="32"/>
      <c r="CH24" s="32"/>
      <c r="CI24" s="41"/>
      <c r="CJ24" s="32"/>
      <c r="CK24" s="32"/>
      <c r="CL24" s="41"/>
      <c r="CM24" s="32"/>
      <c r="CN24" s="32"/>
      <c r="CO24" s="41"/>
      <c r="CP24" s="32"/>
      <c r="CQ24" s="32"/>
      <c r="CR24" s="41"/>
      <c r="CS24" s="32"/>
      <c r="CT24" s="32"/>
      <c r="CU24" s="41"/>
      <c r="CV24" s="32"/>
      <c r="CW24" s="32"/>
      <c r="CX24" s="41"/>
      <c r="CY24" s="32"/>
      <c r="CZ24" s="32"/>
      <c r="DA24" s="41"/>
      <c r="DB24" s="32"/>
      <c r="DC24" s="32"/>
      <c r="DD24" s="41"/>
      <c r="DE24" s="32"/>
      <c r="DF24" s="32"/>
      <c r="DG24" s="41"/>
      <c r="DH24" s="32"/>
      <c r="DI24" s="32"/>
      <c r="DJ24" s="41"/>
      <c r="DK24" s="32"/>
      <c r="DL24" s="32"/>
      <c r="DM24" s="41"/>
      <c r="DN24" s="32"/>
      <c r="DO24" s="32"/>
      <c r="DP24" s="41"/>
      <c r="DQ24" s="32"/>
      <c r="DR24" s="32"/>
      <c r="DS24" s="41"/>
      <c r="DT24" s="32"/>
      <c r="DU24" s="32"/>
      <c r="DV24" s="41"/>
      <c r="DW24" s="32"/>
      <c r="DX24" s="32"/>
      <c r="DY24" s="41"/>
      <c r="DZ24" s="32"/>
      <c r="EA24" s="32"/>
      <c r="EB24" s="41"/>
      <c r="EC24" s="32"/>
      <c r="ED24" s="32"/>
      <c r="EE24" s="41"/>
      <c r="EF24" s="32"/>
      <c r="EG24" s="32"/>
      <c r="EI24" s="43"/>
    </row>
    <row r="25" spans="1:142" ht="19.5" thickBot="1" x14ac:dyDescent="0.25">
      <c r="A25" s="16">
        <f ca="1">合計!$A25</f>
        <v>45798</v>
      </c>
      <c r="B25" s="17" t="str">
        <f t="shared" si="4"/>
        <v/>
      </c>
      <c r="C25" s="17">
        <f t="shared" si="0"/>
        <v>0</v>
      </c>
      <c r="D25" s="17">
        <f t="shared" si="5"/>
        <v>0</v>
      </c>
      <c r="E25" s="17" t="str">
        <f t="shared" si="1"/>
        <v/>
      </c>
      <c r="F25" s="15">
        <f t="shared" si="6"/>
        <v>0</v>
      </c>
      <c r="G25" s="18" t="e">
        <f t="shared" si="2"/>
        <v>#VALUE!</v>
      </c>
      <c r="I25" s="29">
        <f t="shared" ca="1" si="3"/>
        <v>45798</v>
      </c>
      <c r="J25" s="32"/>
      <c r="K25" s="34"/>
      <c r="L25" s="36"/>
      <c r="M25" s="63"/>
      <c r="N25" s="35"/>
      <c r="O25" s="57"/>
      <c r="P25" s="40"/>
      <c r="Q25" s="36"/>
      <c r="R25" s="43"/>
      <c r="S25" s="32"/>
      <c r="T25" s="32"/>
      <c r="U25" s="41"/>
      <c r="V25" s="32"/>
      <c r="W25" s="32"/>
      <c r="X25" s="41"/>
      <c r="Y25" s="32"/>
      <c r="Z25" s="32"/>
      <c r="AA25" s="41"/>
      <c r="AB25" s="32"/>
      <c r="AC25" s="32"/>
      <c r="AD25" s="41"/>
      <c r="AE25" s="32"/>
      <c r="AF25" s="32"/>
      <c r="AG25" s="41"/>
      <c r="AH25" s="32"/>
      <c r="AI25" s="32"/>
      <c r="AJ25" s="41"/>
      <c r="AK25" s="32"/>
      <c r="AL25" s="32"/>
      <c r="AM25" s="41"/>
      <c r="AN25" s="32"/>
      <c r="AO25" s="32"/>
      <c r="AP25" s="41"/>
      <c r="AQ25" s="32"/>
      <c r="AR25" s="32"/>
      <c r="AS25" s="41"/>
      <c r="AT25" s="32"/>
      <c r="AU25" s="32"/>
      <c r="AV25" s="41"/>
      <c r="AW25" s="32"/>
      <c r="AX25" s="32"/>
      <c r="AY25" s="41"/>
      <c r="AZ25" s="32"/>
      <c r="BA25" s="32"/>
      <c r="BB25" s="41"/>
      <c r="BC25" s="32"/>
      <c r="BD25" s="32"/>
      <c r="BE25" s="41"/>
      <c r="BF25" s="32"/>
      <c r="BG25" s="32"/>
      <c r="BH25" s="41"/>
      <c r="BI25" s="32"/>
      <c r="BJ25" s="32"/>
      <c r="BK25" s="41"/>
      <c r="BL25" s="32"/>
      <c r="BM25" s="32"/>
      <c r="BN25" s="41"/>
      <c r="BO25" s="32"/>
      <c r="BP25" s="32"/>
      <c r="BQ25" s="41"/>
      <c r="BR25" s="32"/>
      <c r="BS25" s="32"/>
      <c r="BT25" s="41"/>
      <c r="BU25" s="32"/>
      <c r="BV25" s="32"/>
      <c r="BW25" s="41"/>
      <c r="BX25" s="32"/>
      <c r="BY25" s="32"/>
      <c r="BZ25" s="41"/>
      <c r="CA25" s="32"/>
      <c r="CB25" s="32"/>
      <c r="CC25" s="41"/>
      <c r="CD25" s="32"/>
      <c r="CE25" s="32"/>
      <c r="CF25" s="41"/>
      <c r="CG25" s="32"/>
      <c r="CH25" s="32"/>
      <c r="CI25" s="41"/>
      <c r="CJ25" s="32"/>
      <c r="CK25" s="32"/>
      <c r="CL25" s="41"/>
      <c r="CM25" s="32"/>
      <c r="CN25" s="32"/>
      <c r="CO25" s="41"/>
      <c r="CP25" s="32"/>
      <c r="CQ25" s="32"/>
      <c r="CR25" s="41"/>
      <c r="CS25" s="32"/>
      <c r="CT25" s="32"/>
      <c r="CU25" s="41"/>
      <c r="CV25" s="32"/>
      <c r="CW25" s="32"/>
      <c r="CX25" s="41"/>
      <c r="CY25" s="32"/>
      <c r="CZ25" s="32"/>
      <c r="DA25" s="41"/>
      <c r="DB25" s="32"/>
      <c r="DC25" s="32"/>
      <c r="DD25" s="41"/>
      <c r="DE25" s="32"/>
      <c r="DF25" s="32"/>
      <c r="DG25" s="41"/>
      <c r="DH25" s="32"/>
      <c r="DI25" s="32"/>
      <c r="DJ25" s="41"/>
      <c r="DK25" s="32"/>
      <c r="DL25" s="32"/>
      <c r="DM25" s="41"/>
      <c r="DN25" s="32"/>
      <c r="DO25" s="32"/>
      <c r="DP25" s="41"/>
      <c r="DQ25" s="32"/>
      <c r="DR25" s="32"/>
      <c r="DS25" s="41"/>
      <c r="DT25" s="32"/>
      <c r="DU25" s="32"/>
      <c r="DV25" s="41"/>
      <c r="DW25" s="32"/>
      <c r="DX25" s="32"/>
      <c r="DY25" s="41"/>
      <c r="DZ25" s="32"/>
      <c r="EA25" s="32"/>
      <c r="EB25" s="41"/>
      <c r="EC25" s="32"/>
      <c r="ED25" s="32"/>
      <c r="EE25" s="41"/>
      <c r="EF25" s="32"/>
      <c r="EG25" s="32"/>
      <c r="EI25" s="43"/>
      <c r="EL25" s="44"/>
    </row>
    <row r="26" spans="1:142" ht="19.5" thickBot="1" x14ac:dyDescent="0.25">
      <c r="A26" s="16">
        <f ca="1">合計!$A26</f>
        <v>45799</v>
      </c>
      <c r="B26" s="17" t="str">
        <f t="shared" si="4"/>
        <v/>
      </c>
      <c r="C26" s="17">
        <f t="shared" si="0"/>
        <v>0</v>
      </c>
      <c r="D26" s="17">
        <f t="shared" si="5"/>
        <v>0</v>
      </c>
      <c r="E26" s="17" t="str">
        <f t="shared" si="1"/>
        <v/>
      </c>
      <c r="F26" s="15">
        <f t="shared" si="6"/>
        <v>0</v>
      </c>
      <c r="G26" s="18" t="e">
        <f t="shared" si="2"/>
        <v>#VALUE!</v>
      </c>
      <c r="I26" s="29">
        <f t="shared" ca="1" si="3"/>
        <v>45799</v>
      </c>
      <c r="J26" s="32"/>
      <c r="K26" s="32"/>
      <c r="M26" s="63"/>
      <c r="N26" s="35"/>
      <c r="O26" s="57"/>
      <c r="P26" s="40"/>
      <c r="Q26" s="40"/>
      <c r="R26" s="43"/>
      <c r="S26" s="32"/>
      <c r="T26" s="32"/>
      <c r="U26" s="41"/>
      <c r="V26" s="32"/>
      <c r="W26" s="32"/>
      <c r="X26" s="41"/>
      <c r="Y26" s="32"/>
      <c r="Z26" s="32"/>
      <c r="AA26" s="41"/>
      <c r="AB26" s="32"/>
      <c r="AC26" s="32"/>
      <c r="AD26" s="41"/>
      <c r="AE26" s="32"/>
      <c r="AF26" s="32"/>
      <c r="AG26" s="41"/>
      <c r="AH26" s="32"/>
      <c r="AI26" s="32"/>
      <c r="AJ26" s="41"/>
      <c r="AK26" s="32"/>
      <c r="AL26" s="32"/>
      <c r="AM26" s="41"/>
      <c r="AN26" s="32"/>
      <c r="AO26" s="32"/>
      <c r="AP26" s="41"/>
      <c r="AQ26" s="32"/>
      <c r="AR26" s="32"/>
      <c r="AS26" s="41"/>
      <c r="AT26" s="32"/>
      <c r="AU26" s="32"/>
      <c r="AV26" s="41"/>
      <c r="AW26" s="32"/>
      <c r="AX26" s="32"/>
      <c r="AY26" s="41"/>
      <c r="AZ26" s="32"/>
      <c r="BA26" s="32"/>
      <c r="BB26" s="41"/>
      <c r="BC26" s="32"/>
      <c r="BD26" s="32"/>
      <c r="BE26" s="41"/>
      <c r="BF26" s="32"/>
      <c r="BG26" s="32"/>
      <c r="BH26" s="41"/>
      <c r="BI26" s="32"/>
      <c r="BJ26" s="32"/>
      <c r="BK26" s="41"/>
      <c r="BL26" s="32"/>
      <c r="BM26" s="32"/>
      <c r="BN26" s="41"/>
      <c r="BO26" s="32"/>
      <c r="BP26" s="32"/>
      <c r="BQ26" s="41"/>
      <c r="BR26" s="32"/>
      <c r="BS26" s="32"/>
      <c r="BT26" s="41"/>
      <c r="BU26" s="32"/>
      <c r="BV26" s="32"/>
      <c r="BW26" s="41"/>
      <c r="BX26" s="32"/>
      <c r="BY26" s="32"/>
      <c r="BZ26" s="41"/>
      <c r="CA26" s="32"/>
      <c r="CB26" s="32"/>
      <c r="CC26" s="41"/>
      <c r="CD26" s="32"/>
      <c r="CE26" s="32"/>
      <c r="CF26" s="41"/>
      <c r="CG26" s="32"/>
      <c r="CH26" s="32"/>
      <c r="CI26" s="41"/>
      <c r="CJ26" s="32"/>
      <c r="CK26" s="32"/>
      <c r="CL26" s="41"/>
      <c r="CM26" s="32"/>
      <c r="CN26" s="32"/>
      <c r="CO26" s="41"/>
      <c r="CP26" s="32"/>
      <c r="CQ26" s="32"/>
      <c r="CR26" s="41"/>
      <c r="CS26" s="32"/>
      <c r="CT26" s="32"/>
      <c r="CU26" s="41"/>
      <c r="CV26" s="32"/>
      <c r="CW26" s="32"/>
      <c r="CX26" s="41"/>
      <c r="CY26" s="32"/>
      <c r="CZ26" s="32"/>
      <c r="DA26" s="41"/>
      <c r="DB26" s="32"/>
      <c r="DC26" s="32"/>
      <c r="DD26" s="41"/>
      <c r="DE26" s="32"/>
      <c r="DF26" s="32"/>
      <c r="DG26" s="41"/>
      <c r="DH26" s="32"/>
      <c r="DI26" s="32"/>
      <c r="DJ26" s="41"/>
      <c r="DK26" s="32"/>
      <c r="DL26" s="32"/>
      <c r="DM26" s="41"/>
      <c r="DN26" s="32"/>
      <c r="DO26" s="32"/>
      <c r="DP26" s="41"/>
      <c r="DQ26" s="32"/>
      <c r="DR26" s="32"/>
      <c r="DS26" s="41"/>
      <c r="DT26" s="32"/>
      <c r="DU26" s="32"/>
      <c r="DV26" s="41"/>
      <c r="DW26" s="32"/>
      <c r="DX26" s="32"/>
      <c r="DY26" s="41"/>
      <c r="DZ26" s="32"/>
      <c r="EA26" s="32"/>
      <c r="EB26" s="41"/>
      <c r="EC26" s="32"/>
      <c r="ED26" s="32"/>
      <c r="EE26" s="41"/>
      <c r="EF26" s="32"/>
      <c r="EG26" s="32"/>
      <c r="EI26" s="43"/>
    </row>
    <row r="27" spans="1:142" ht="19.5" thickBot="1" x14ac:dyDescent="0.25">
      <c r="A27" s="16">
        <f ca="1">合計!$A27</f>
        <v>45800</v>
      </c>
      <c r="B27" s="17" t="str">
        <f t="shared" si="4"/>
        <v/>
      </c>
      <c r="C27" s="17">
        <f t="shared" si="0"/>
        <v>0</v>
      </c>
      <c r="D27" s="17">
        <f>IFERROR(E27*92.597%+ROUNDUP(M27,1)+ROUNDUP(N27,1),0)</f>
        <v>0</v>
      </c>
      <c r="E27" s="17" t="str">
        <f t="shared" si="1"/>
        <v/>
      </c>
      <c r="F27" s="15">
        <f>D27-C27</f>
        <v>0</v>
      </c>
      <c r="G27" s="18" t="e">
        <f t="shared" si="2"/>
        <v>#VALUE!</v>
      </c>
      <c r="I27" s="29">
        <f t="shared" ca="1" si="3"/>
        <v>45800</v>
      </c>
      <c r="J27" s="32"/>
      <c r="K27" s="32"/>
      <c r="M27" s="63"/>
      <c r="N27" s="35"/>
      <c r="O27" s="57"/>
      <c r="P27" s="40"/>
      <c r="Q27" s="40"/>
      <c r="R27" s="43"/>
      <c r="S27" s="32"/>
      <c r="T27" s="32"/>
      <c r="U27" s="41"/>
      <c r="V27" s="32"/>
      <c r="W27" s="32"/>
      <c r="X27" s="41"/>
      <c r="Y27" s="32"/>
      <c r="Z27" s="32"/>
      <c r="AA27" s="41"/>
      <c r="AB27" s="32"/>
      <c r="AC27" s="32"/>
      <c r="AD27" s="41"/>
      <c r="AE27" s="32"/>
      <c r="AF27" s="32"/>
      <c r="AG27" s="41"/>
      <c r="AH27" s="32"/>
      <c r="AI27" s="32"/>
      <c r="AJ27" s="41"/>
      <c r="AK27" s="32"/>
      <c r="AL27" s="32"/>
      <c r="AM27" s="41"/>
      <c r="AN27" s="32"/>
      <c r="AO27" s="32"/>
      <c r="AP27" s="41"/>
      <c r="AQ27" s="32"/>
      <c r="AR27" s="32"/>
      <c r="AS27" s="41"/>
      <c r="AT27" s="32"/>
      <c r="AU27" s="32"/>
      <c r="AV27" s="41"/>
      <c r="AW27" s="32"/>
      <c r="AX27" s="32"/>
      <c r="AY27" s="41"/>
      <c r="AZ27" s="32"/>
      <c r="BA27" s="32"/>
      <c r="BB27" s="41"/>
      <c r="BC27" s="32"/>
      <c r="BD27" s="32"/>
      <c r="BE27" s="41"/>
      <c r="BF27" s="32"/>
      <c r="BG27" s="32"/>
      <c r="BH27" s="41"/>
      <c r="BI27" s="32"/>
      <c r="BJ27" s="32"/>
      <c r="BK27" s="41"/>
      <c r="BL27" s="32"/>
      <c r="BM27" s="32"/>
      <c r="BN27" s="41"/>
      <c r="BO27" s="32"/>
      <c r="BP27" s="32"/>
      <c r="BQ27" s="41"/>
      <c r="BR27" s="32"/>
      <c r="BS27" s="32"/>
      <c r="BT27" s="41"/>
      <c r="BU27" s="32"/>
      <c r="BV27" s="32"/>
      <c r="BW27" s="41"/>
      <c r="BX27" s="32"/>
      <c r="BY27" s="32"/>
      <c r="BZ27" s="41"/>
      <c r="CA27" s="32"/>
      <c r="CB27" s="32"/>
      <c r="CC27" s="41"/>
      <c r="CD27" s="32"/>
      <c r="CE27" s="32"/>
      <c r="CF27" s="41"/>
      <c r="CG27" s="32"/>
      <c r="CH27" s="32"/>
      <c r="CI27" s="41"/>
      <c r="CJ27" s="32"/>
      <c r="CK27" s="32"/>
      <c r="CL27" s="41"/>
      <c r="CM27" s="32"/>
      <c r="CN27" s="32"/>
      <c r="CO27" s="41"/>
      <c r="CP27" s="32"/>
      <c r="CQ27" s="32"/>
      <c r="CR27" s="41"/>
      <c r="CS27" s="32"/>
      <c r="CT27" s="32"/>
      <c r="CU27" s="41"/>
      <c r="CV27" s="32"/>
      <c r="CW27" s="32"/>
      <c r="CX27" s="41"/>
      <c r="CY27" s="32"/>
      <c r="CZ27" s="32"/>
      <c r="DA27" s="41"/>
      <c r="DB27" s="32"/>
      <c r="DC27" s="32"/>
      <c r="DD27" s="41"/>
      <c r="DE27" s="32"/>
      <c r="DF27" s="32"/>
      <c r="DG27" s="41"/>
      <c r="DH27" s="32"/>
      <c r="DI27" s="32"/>
      <c r="DJ27" s="41"/>
      <c r="DK27" s="32"/>
      <c r="DL27" s="32"/>
      <c r="DM27" s="41"/>
      <c r="DN27" s="32"/>
      <c r="DO27" s="32"/>
      <c r="DP27" s="41"/>
      <c r="DQ27" s="32"/>
      <c r="DR27" s="32"/>
      <c r="DS27" s="41"/>
      <c r="DT27" s="32"/>
      <c r="DU27" s="32"/>
      <c r="DV27" s="41"/>
      <c r="DW27" s="32"/>
      <c r="DX27" s="32"/>
      <c r="DY27" s="41"/>
      <c r="DZ27" s="32"/>
      <c r="EA27" s="32"/>
      <c r="EB27" s="41"/>
      <c r="EC27" s="32"/>
      <c r="ED27" s="32"/>
      <c r="EE27" s="41"/>
      <c r="EF27" s="32"/>
      <c r="EG27" s="32"/>
      <c r="EI27" s="43"/>
    </row>
    <row r="28" spans="1:142" ht="19.5" thickBot="1" x14ac:dyDescent="0.25">
      <c r="A28" s="16">
        <f ca="1">合計!$A28</f>
        <v>45801</v>
      </c>
      <c r="B28" s="17" t="str">
        <f t="shared" si="4"/>
        <v/>
      </c>
      <c r="C28" s="17">
        <f t="shared" si="0"/>
        <v>0</v>
      </c>
      <c r="D28" s="17">
        <f t="shared" ref="D28:D35" si="7">IFERROR(E28*92.597%+ROUNDUP(M28,1)+ROUNDUP(N28,1),0)</f>
        <v>0</v>
      </c>
      <c r="E28" s="17" t="str">
        <f>IF(J28="","",J28+EI28)</f>
        <v/>
      </c>
      <c r="F28" s="15">
        <f>D28-C28</f>
        <v>0</v>
      </c>
      <c r="G28" s="18" t="e">
        <f t="shared" si="2"/>
        <v>#VALUE!</v>
      </c>
      <c r="I28" s="29">
        <f t="shared" ca="1" si="3"/>
        <v>45801</v>
      </c>
      <c r="J28" s="32"/>
      <c r="K28" s="32"/>
      <c r="M28" s="63"/>
      <c r="N28" s="35"/>
      <c r="O28" s="20"/>
      <c r="P28" s="20"/>
      <c r="Q28" s="20"/>
      <c r="R28" s="20"/>
      <c r="S28" s="20"/>
      <c r="T28" s="20"/>
      <c r="U28" s="41"/>
      <c r="V28" s="32"/>
      <c r="W28" s="32"/>
      <c r="X28" s="41"/>
      <c r="Y28" s="32"/>
      <c r="Z28" s="32"/>
      <c r="AA28" s="41"/>
      <c r="AB28" s="32"/>
      <c r="AC28" s="32"/>
      <c r="AD28" s="41"/>
      <c r="AE28" s="32"/>
      <c r="AF28" s="32"/>
      <c r="AG28" s="41"/>
      <c r="AH28" s="32"/>
      <c r="AI28" s="32"/>
      <c r="AJ28" s="41"/>
      <c r="AK28" s="32"/>
      <c r="AL28" s="32"/>
      <c r="AM28" s="41"/>
      <c r="AN28" s="32"/>
      <c r="AO28" s="32"/>
      <c r="AP28" s="41"/>
      <c r="AQ28" s="32"/>
      <c r="AR28" s="32"/>
      <c r="AS28" s="41"/>
      <c r="AT28" s="32"/>
      <c r="AU28" s="32"/>
      <c r="AV28" s="41"/>
      <c r="AW28" s="32"/>
      <c r="AX28" s="32"/>
      <c r="AY28" s="41"/>
      <c r="AZ28" s="32"/>
      <c r="BA28" s="32"/>
      <c r="BB28" s="41"/>
      <c r="BC28" s="32"/>
      <c r="BD28" s="32"/>
      <c r="BE28" s="41"/>
      <c r="BF28" s="32"/>
      <c r="BG28" s="32"/>
      <c r="BH28" s="41"/>
      <c r="BI28" s="32"/>
      <c r="BJ28" s="32"/>
      <c r="BK28" s="41"/>
      <c r="BL28" s="32"/>
      <c r="BM28" s="32"/>
      <c r="BN28" s="41"/>
      <c r="BO28" s="32"/>
      <c r="BP28" s="32"/>
      <c r="BQ28" s="41"/>
      <c r="BR28" s="32"/>
      <c r="BS28" s="32"/>
      <c r="BT28" s="41"/>
      <c r="BU28" s="32"/>
      <c r="BV28" s="32"/>
      <c r="BW28" s="41"/>
      <c r="BX28" s="32"/>
      <c r="BY28" s="32"/>
      <c r="BZ28" s="41"/>
      <c r="CA28" s="32"/>
      <c r="CB28" s="32"/>
      <c r="CC28" s="41"/>
      <c r="CD28" s="32"/>
      <c r="CE28" s="32"/>
      <c r="CF28" s="41"/>
      <c r="CG28" s="32"/>
      <c r="CH28" s="32"/>
      <c r="CI28" s="41"/>
      <c r="CJ28" s="32"/>
      <c r="CK28" s="32"/>
      <c r="CL28" s="41"/>
      <c r="CM28" s="32"/>
      <c r="CN28" s="32"/>
      <c r="CO28" s="41"/>
      <c r="CP28" s="32"/>
      <c r="CQ28" s="32"/>
      <c r="CR28" s="41"/>
      <c r="CS28" s="32"/>
      <c r="CT28" s="32"/>
      <c r="CU28" s="41"/>
      <c r="CV28" s="32"/>
      <c r="CW28" s="32"/>
      <c r="CX28" s="41"/>
      <c r="CY28" s="32"/>
      <c r="CZ28" s="32"/>
      <c r="DA28" s="41"/>
      <c r="DB28" s="32"/>
      <c r="DC28" s="32"/>
      <c r="DD28" s="41"/>
      <c r="DE28" s="32"/>
      <c r="DF28" s="32"/>
      <c r="DG28" s="41"/>
      <c r="DH28" s="32"/>
      <c r="DI28" s="32"/>
      <c r="DJ28" s="41"/>
      <c r="DK28" s="32"/>
      <c r="DL28" s="32"/>
      <c r="DM28" s="41"/>
      <c r="DN28" s="32"/>
      <c r="DO28" s="32"/>
      <c r="DP28" s="41"/>
      <c r="DQ28" s="32"/>
      <c r="DR28" s="32"/>
      <c r="DS28" s="41"/>
      <c r="DT28" s="32"/>
      <c r="DU28" s="32"/>
      <c r="DV28" s="41"/>
      <c r="DW28" s="32"/>
      <c r="DX28" s="32"/>
      <c r="DY28" s="41"/>
      <c r="DZ28" s="32"/>
      <c r="EA28" s="32"/>
      <c r="EB28" s="41"/>
      <c r="EC28" s="32"/>
      <c r="ED28" s="32"/>
      <c r="EE28" s="41"/>
      <c r="EF28" s="32"/>
      <c r="EG28" s="32"/>
      <c r="EI28" s="55"/>
      <c r="EL28" s="45"/>
    </row>
    <row r="29" spans="1:142" ht="19.5" thickBot="1" x14ac:dyDescent="0.25">
      <c r="A29" s="16">
        <f ca="1">合計!$A29</f>
        <v>45802</v>
      </c>
      <c r="B29" s="17" t="str">
        <f t="shared" si="4"/>
        <v/>
      </c>
      <c r="C29" s="17">
        <f t="shared" si="0"/>
        <v>0</v>
      </c>
      <c r="D29" s="17">
        <f t="shared" si="7"/>
        <v>0</v>
      </c>
      <c r="E29" s="17" t="str">
        <f t="shared" ref="E29:E35" si="8">IF(J29="","",J29+EI29)</f>
        <v/>
      </c>
      <c r="F29" s="15">
        <f t="shared" si="6"/>
        <v>0</v>
      </c>
      <c r="G29" s="18" t="e">
        <f t="shared" si="2"/>
        <v>#VALUE!</v>
      </c>
      <c r="I29" s="29">
        <f t="shared" ca="1" si="3"/>
        <v>45802</v>
      </c>
      <c r="J29" s="32"/>
      <c r="K29" s="32"/>
      <c r="M29" s="63"/>
      <c r="N29" s="35"/>
      <c r="O29" s="57"/>
      <c r="P29" s="40"/>
      <c r="S29" s="32"/>
      <c r="T29" s="32"/>
      <c r="U29" s="41"/>
      <c r="V29" s="32"/>
      <c r="W29" s="32"/>
      <c r="X29" s="41"/>
      <c r="Y29" s="32"/>
      <c r="Z29" s="32"/>
      <c r="AA29" s="41"/>
      <c r="AB29" s="32"/>
      <c r="AC29" s="32"/>
      <c r="AD29" s="41"/>
      <c r="AE29" s="32"/>
      <c r="AF29" s="32"/>
      <c r="AG29" s="41"/>
      <c r="AH29" s="32"/>
      <c r="AI29" s="32"/>
      <c r="AJ29" s="41"/>
      <c r="AK29" s="32"/>
      <c r="AL29" s="32"/>
      <c r="AM29" s="41"/>
      <c r="AN29" s="32"/>
      <c r="AO29" s="32"/>
      <c r="AP29" s="41"/>
      <c r="AQ29" s="32"/>
      <c r="AR29" s="32"/>
      <c r="AS29" s="41"/>
      <c r="AT29" s="32"/>
      <c r="AU29" s="32"/>
      <c r="AV29" s="41"/>
      <c r="AW29" s="32"/>
      <c r="AX29" s="32"/>
      <c r="AY29" s="41"/>
      <c r="AZ29" s="32"/>
      <c r="BA29" s="32"/>
      <c r="BB29" s="41"/>
      <c r="BC29" s="32"/>
      <c r="BD29" s="32"/>
      <c r="BE29" s="41"/>
      <c r="BF29" s="32"/>
      <c r="BG29" s="32"/>
      <c r="BH29" s="41"/>
      <c r="BI29" s="32"/>
      <c r="BJ29" s="32"/>
      <c r="BK29" s="41"/>
      <c r="BL29" s="32"/>
      <c r="BM29" s="32"/>
      <c r="BN29" s="41"/>
      <c r="BO29" s="32"/>
      <c r="BP29" s="32"/>
      <c r="BQ29" s="41"/>
      <c r="BR29" s="32"/>
      <c r="BS29" s="32"/>
      <c r="BT29" s="41"/>
      <c r="BU29" s="32"/>
      <c r="BV29" s="32"/>
      <c r="BW29" s="41"/>
      <c r="BX29" s="32"/>
      <c r="BY29" s="32"/>
      <c r="BZ29" s="41"/>
      <c r="CA29" s="32"/>
      <c r="CB29" s="32"/>
      <c r="CC29" s="41"/>
      <c r="CD29" s="32"/>
      <c r="CE29" s="32"/>
      <c r="CF29" s="41"/>
      <c r="CG29" s="32"/>
      <c r="CH29" s="32"/>
      <c r="CI29" s="41"/>
      <c r="CJ29" s="32"/>
      <c r="CK29" s="32"/>
      <c r="CL29" s="41"/>
      <c r="CM29" s="32"/>
      <c r="CN29" s="32"/>
      <c r="CO29" s="41"/>
      <c r="CP29" s="32"/>
      <c r="CQ29" s="32"/>
      <c r="CR29" s="41"/>
      <c r="CS29" s="32"/>
      <c r="CT29" s="32"/>
      <c r="CU29" s="41"/>
      <c r="CV29" s="32"/>
      <c r="CW29" s="32"/>
      <c r="CX29" s="41"/>
      <c r="CY29" s="32"/>
      <c r="CZ29" s="32"/>
      <c r="DA29" s="41"/>
      <c r="DB29" s="32"/>
      <c r="DC29" s="32"/>
      <c r="DD29" s="41"/>
      <c r="DE29" s="32"/>
      <c r="DF29" s="32"/>
      <c r="DG29" s="41"/>
      <c r="DH29" s="32"/>
      <c r="DI29" s="32"/>
      <c r="DJ29" s="41"/>
      <c r="DK29" s="32"/>
      <c r="DL29" s="32"/>
      <c r="DM29" s="41"/>
      <c r="DN29" s="32"/>
      <c r="DO29" s="32"/>
      <c r="DP29" s="41"/>
      <c r="DQ29" s="32"/>
      <c r="DR29" s="32"/>
      <c r="DS29" s="41"/>
      <c r="DT29" s="32"/>
      <c r="DU29" s="32"/>
      <c r="DV29" s="41"/>
      <c r="DW29" s="32"/>
      <c r="DX29" s="32"/>
      <c r="DY29" s="41"/>
      <c r="DZ29" s="32"/>
      <c r="EA29" s="32"/>
      <c r="EB29" s="41"/>
      <c r="EC29" s="32"/>
      <c r="ED29" s="32"/>
      <c r="EE29" s="41"/>
      <c r="EF29" s="32"/>
      <c r="EG29" s="32"/>
      <c r="EI29" s="55"/>
    </row>
    <row r="30" spans="1:142" ht="19.5" thickBot="1" x14ac:dyDescent="0.25">
      <c r="A30" s="16">
        <f ca="1">合計!$A30</f>
        <v>45803</v>
      </c>
      <c r="B30" s="17" t="str">
        <f t="shared" si="4"/>
        <v/>
      </c>
      <c r="C30" s="17">
        <f t="shared" si="0"/>
        <v>0</v>
      </c>
      <c r="D30" s="17">
        <f t="shared" si="7"/>
        <v>0</v>
      </c>
      <c r="E30" s="17" t="str">
        <f t="shared" si="8"/>
        <v/>
      </c>
      <c r="F30" s="15">
        <f t="shared" si="6"/>
        <v>0</v>
      </c>
      <c r="G30" s="18" t="e">
        <f t="shared" si="2"/>
        <v>#VALUE!</v>
      </c>
      <c r="I30" s="29">
        <f t="shared" ca="1" si="3"/>
        <v>45803</v>
      </c>
      <c r="J30" s="32"/>
      <c r="K30" s="32"/>
      <c r="M30" s="63"/>
      <c r="N30" s="35"/>
      <c r="O30" s="59"/>
      <c r="P30" s="40"/>
      <c r="S30" s="32"/>
      <c r="T30" s="32"/>
      <c r="U30" s="41"/>
      <c r="V30" s="32"/>
      <c r="W30" s="32"/>
      <c r="X30" s="41"/>
      <c r="Y30" s="32"/>
      <c r="Z30" s="32"/>
      <c r="AA30" s="41"/>
      <c r="AB30" s="32"/>
      <c r="AC30" s="32"/>
      <c r="AD30" s="41"/>
      <c r="AE30" s="32"/>
      <c r="AF30" s="32"/>
      <c r="AG30" s="41"/>
      <c r="AH30" s="32"/>
      <c r="AI30" s="32"/>
      <c r="AJ30" s="41"/>
      <c r="AK30" s="32"/>
      <c r="AL30" s="32"/>
      <c r="AM30" s="41"/>
      <c r="AN30" s="32"/>
      <c r="AO30" s="32"/>
      <c r="AP30" s="41"/>
      <c r="AQ30" s="32"/>
      <c r="AR30" s="32"/>
      <c r="AS30" s="41"/>
      <c r="AT30" s="32"/>
      <c r="AU30" s="32"/>
      <c r="AV30" s="41"/>
      <c r="AW30" s="32"/>
      <c r="AX30" s="32"/>
      <c r="AY30" s="41"/>
      <c r="AZ30" s="32"/>
      <c r="BA30" s="32"/>
      <c r="BB30" s="41"/>
      <c r="BC30" s="32"/>
      <c r="BD30" s="32"/>
      <c r="BE30" s="41"/>
      <c r="BF30" s="32"/>
      <c r="BG30" s="32"/>
      <c r="BH30" s="41"/>
      <c r="BI30" s="32"/>
      <c r="BJ30" s="32"/>
      <c r="BK30" s="41"/>
      <c r="BL30" s="32"/>
      <c r="BM30" s="32"/>
      <c r="BN30" s="41"/>
      <c r="BO30" s="32"/>
      <c r="BP30" s="32"/>
      <c r="BQ30" s="41"/>
      <c r="BR30" s="32"/>
      <c r="BS30" s="32"/>
      <c r="BT30" s="41"/>
      <c r="BU30" s="32"/>
      <c r="BV30" s="32"/>
      <c r="BW30" s="41"/>
      <c r="BX30" s="32"/>
      <c r="BY30" s="32"/>
      <c r="BZ30" s="41"/>
      <c r="CA30" s="32"/>
      <c r="CB30" s="32"/>
      <c r="CC30" s="41"/>
      <c r="CD30" s="32"/>
      <c r="CE30" s="32"/>
      <c r="CF30" s="41"/>
      <c r="CG30" s="32"/>
      <c r="CH30" s="32"/>
      <c r="CI30" s="41"/>
      <c r="CJ30" s="32"/>
      <c r="CK30" s="32"/>
      <c r="CL30" s="41"/>
      <c r="CM30" s="32"/>
      <c r="CN30" s="32"/>
      <c r="CO30" s="41"/>
      <c r="CP30" s="32"/>
      <c r="CQ30" s="32"/>
      <c r="CR30" s="41"/>
      <c r="CS30" s="32"/>
      <c r="CT30" s="32"/>
      <c r="CU30" s="41"/>
      <c r="CV30" s="32"/>
      <c r="CW30" s="32"/>
      <c r="CX30" s="41"/>
      <c r="CY30" s="32"/>
      <c r="CZ30" s="32"/>
      <c r="DA30" s="41"/>
      <c r="DB30" s="32"/>
      <c r="DC30" s="32"/>
      <c r="DD30" s="41"/>
      <c r="DE30" s="32"/>
      <c r="DF30" s="32"/>
      <c r="DG30" s="41"/>
      <c r="DH30" s="32"/>
      <c r="DI30" s="32"/>
      <c r="DJ30" s="41"/>
      <c r="DK30" s="32"/>
      <c r="DL30" s="32"/>
      <c r="DM30" s="41"/>
      <c r="DN30" s="32"/>
      <c r="DO30" s="32"/>
      <c r="DP30" s="41"/>
      <c r="DQ30" s="32"/>
      <c r="DR30" s="32"/>
      <c r="DS30" s="41"/>
      <c r="DT30" s="32"/>
      <c r="DU30" s="32"/>
      <c r="DV30" s="41"/>
      <c r="DW30" s="32"/>
      <c r="DX30" s="32"/>
      <c r="DY30" s="41"/>
      <c r="DZ30" s="32"/>
      <c r="EA30" s="32"/>
      <c r="EB30" s="41"/>
      <c r="EC30" s="32"/>
      <c r="ED30" s="32"/>
      <c r="EE30" s="41"/>
      <c r="EF30" s="32"/>
      <c r="EG30" s="32"/>
      <c r="EI30" s="55"/>
    </row>
    <row r="31" spans="1:142" ht="19.5" thickBot="1" x14ac:dyDescent="0.25">
      <c r="A31" s="16">
        <f ca="1">合計!$A31</f>
        <v>45804</v>
      </c>
      <c r="B31" s="17" t="str">
        <f t="shared" si="4"/>
        <v/>
      </c>
      <c r="C31" s="17">
        <f t="shared" si="0"/>
        <v>0</v>
      </c>
      <c r="D31" s="17">
        <f t="shared" si="7"/>
        <v>0</v>
      </c>
      <c r="E31" s="17" t="str">
        <f t="shared" si="8"/>
        <v/>
      </c>
      <c r="F31" s="15">
        <f t="shared" si="6"/>
        <v>0</v>
      </c>
      <c r="G31" s="18" t="e">
        <f t="shared" si="2"/>
        <v>#VALUE!</v>
      </c>
      <c r="I31" s="29">
        <f t="shared" ca="1" si="3"/>
        <v>45804</v>
      </c>
      <c r="J31" s="34"/>
      <c r="K31" s="34"/>
      <c r="M31" s="63"/>
      <c r="N31" s="35"/>
      <c r="O31" s="59"/>
      <c r="P31" s="40"/>
      <c r="S31" s="32"/>
      <c r="T31" s="32"/>
      <c r="U31" s="41"/>
      <c r="V31" s="32"/>
      <c r="W31" s="32"/>
      <c r="X31" s="41"/>
      <c r="Y31" s="32"/>
      <c r="Z31" s="32"/>
      <c r="AA31" s="41"/>
      <c r="AB31" s="32"/>
      <c r="AC31" s="32"/>
      <c r="AD31" s="41"/>
      <c r="AE31" s="32"/>
      <c r="AF31" s="32"/>
      <c r="AG31" s="41"/>
      <c r="AH31" s="32"/>
      <c r="AI31" s="32"/>
      <c r="AJ31" s="41"/>
      <c r="AK31" s="32"/>
      <c r="AL31" s="32"/>
      <c r="AM31" s="41"/>
      <c r="AN31" s="32"/>
      <c r="AO31" s="32"/>
      <c r="AP31" s="41"/>
      <c r="AQ31" s="32"/>
      <c r="AR31" s="32"/>
      <c r="AS31" s="41"/>
      <c r="AT31" s="32"/>
      <c r="AU31" s="32"/>
      <c r="AV31" s="41"/>
      <c r="AW31" s="32"/>
      <c r="AX31" s="32"/>
      <c r="AY31" s="41"/>
      <c r="AZ31" s="32"/>
      <c r="BA31" s="32"/>
      <c r="BB31" s="41"/>
      <c r="BC31" s="32"/>
      <c r="BD31" s="32"/>
      <c r="BE31" s="41"/>
      <c r="BF31" s="32"/>
      <c r="BG31" s="32"/>
      <c r="BH31" s="41"/>
      <c r="BI31" s="32"/>
      <c r="BJ31" s="32"/>
      <c r="BK31" s="41"/>
      <c r="BL31" s="32"/>
      <c r="BM31" s="32"/>
      <c r="BN31" s="41"/>
      <c r="BO31" s="32"/>
      <c r="BP31" s="32"/>
      <c r="BQ31" s="41"/>
      <c r="BR31" s="32"/>
      <c r="BS31" s="32"/>
      <c r="BT31" s="41"/>
      <c r="BU31" s="32"/>
      <c r="BV31" s="32"/>
      <c r="BW31" s="41"/>
      <c r="BX31" s="32"/>
      <c r="BY31" s="32"/>
      <c r="BZ31" s="41"/>
      <c r="CA31" s="32"/>
      <c r="CB31" s="32"/>
      <c r="CC31" s="41"/>
      <c r="CD31" s="32"/>
      <c r="CE31" s="32"/>
      <c r="CF31" s="41"/>
      <c r="CG31" s="32"/>
      <c r="CH31" s="32"/>
      <c r="CI31" s="41"/>
      <c r="CJ31" s="32"/>
      <c r="CK31" s="32"/>
      <c r="CL31" s="41"/>
      <c r="CM31" s="32"/>
      <c r="CN31" s="32"/>
      <c r="CO31" s="41"/>
      <c r="CP31" s="32"/>
      <c r="CQ31" s="32"/>
      <c r="CR31" s="41"/>
      <c r="CS31" s="32"/>
      <c r="CT31" s="32"/>
      <c r="CU31" s="41"/>
      <c r="CV31" s="32"/>
      <c r="CW31" s="32"/>
      <c r="CX31" s="41"/>
      <c r="CY31" s="32"/>
      <c r="CZ31" s="32"/>
      <c r="DA31" s="41"/>
      <c r="DB31" s="32"/>
      <c r="DC31" s="32"/>
      <c r="DD31" s="41"/>
      <c r="DE31" s="32"/>
      <c r="DF31" s="32"/>
      <c r="DG31" s="41"/>
      <c r="DH31" s="32"/>
      <c r="DI31" s="32"/>
      <c r="DJ31" s="41"/>
      <c r="DK31" s="32"/>
      <c r="DL31" s="32"/>
      <c r="DM31" s="41"/>
      <c r="DN31" s="32"/>
      <c r="DO31" s="32"/>
      <c r="DP31" s="41"/>
      <c r="DQ31" s="32"/>
      <c r="DR31" s="32"/>
      <c r="DS31" s="41"/>
      <c r="DT31" s="32"/>
      <c r="DU31" s="32"/>
      <c r="DV31" s="41"/>
      <c r="DW31" s="32"/>
      <c r="DX31" s="32"/>
      <c r="DY31" s="41"/>
      <c r="DZ31" s="32"/>
      <c r="EA31" s="32"/>
      <c r="EB31" s="41"/>
      <c r="EC31" s="32"/>
      <c r="ED31" s="32"/>
      <c r="EE31" s="41"/>
      <c r="EF31" s="32"/>
      <c r="EG31" s="32"/>
      <c r="EI31" s="55"/>
    </row>
    <row r="32" spans="1:142" ht="19.5" thickBot="1" x14ac:dyDescent="0.25">
      <c r="A32" s="16">
        <f ca="1">合計!$A32</f>
        <v>45805</v>
      </c>
      <c r="B32" s="17" t="str">
        <f t="shared" si="4"/>
        <v/>
      </c>
      <c r="C32" s="17">
        <f t="shared" si="0"/>
        <v>0</v>
      </c>
      <c r="D32" s="17">
        <f t="shared" si="7"/>
        <v>0</v>
      </c>
      <c r="E32" s="17" t="str">
        <f t="shared" si="8"/>
        <v/>
      </c>
      <c r="F32" s="15">
        <f t="shared" si="6"/>
        <v>0</v>
      </c>
      <c r="G32" s="18" t="e">
        <f t="shared" si="2"/>
        <v>#VALUE!</v>
      </c>
      <c r="I32" s="29">
        <f ca="1">A32</f>
        <v>45805</v>
      </c>
      <c r="J32" s="32"/>
      <c r="K32" s="32"/>
      <c r="M32" s="63"/>
      <c r="N32" s="35"/>
      <c r="O32" s="59"/>
      <c r="P32" s="40"/>
      <c r="S32" s="32"/>
      <c r="T32" s="32"/>
      <c r="U32" s="41"/>
      <c r="V32" s="32"/>
      <c r="W32" s="32"/>
      <c r="X32" s="41"/>
      <c r="Y32" s="32"/>
      <c r="Z32" s="32"/>
      <c r="AA32" s="41"/>
      <c r="AB32" s="32"/>
      <c r="AC32" s="32"/>
      <c r="AD32" s="41"/>
      <c r="AE32" s="32"/>
      <c r="AF32" s="32"/>
      <c r="AG32" s="41"/>
      <c r="AH32" s="32"/>
      <c r="AI32" s="32"/>
      <c r="AJ32" s="41"/>
      <c r="AK32" s="32"/>
      <c r="AL32" s="32"/>
      <c r="AM32" s="41"/>
      <c r="AN32" s="32"/>
      <c r="AO32" s="32"/>
      <c r="AP32" s="41"/>
      <c r="AQ32" s="32"/>
      <c r="AR32" s="32"/>
      <c r="AS32" s="41"/>
      <c r="AT32" s="32"/>
      <c r="AU32" s="32"/>
      <c r="AV32" s="41"/>
      <c r="AW32" s="32"/>
      <c r="AX32" s="32"/>
      <c r="AY32" s="41"/>
      <c r="AZ32" s="32"/>
      <c r="BA32" s="32"/>
      <c r="BB32" s="41"/>
      <c r="BC32" s="32"/>
      <c r="BD32" s="32"/>
      <c r="BE32" s="41"/>
      <c r="BF32" s="32"/>
      <c r="BG32" s="32"/>
      <c r="BH32" s="41"/>
      <c r="BI32" s="32"/>
      <c r="BJ32" s="32"/>
      <c r="BK32" s="41"/>
      <c r="BL32" s="32"/>
      <c r="BM32" s="32"/>
      <c r="BN32" s="41"/>
      <c r="BO32" s="32"/>
      <c r="BP32" s="32"/>
      <c r="BQ32" s="41"/>
      <c r="BR32" s="32"/>
      <c r="BS32" s="32"/>
      <c r="BT32" s="41"/>
      <c r="BU32" s="32"/>
      <c r="BV32" s="32"/>
      <c r="BW32" s="41"/>
      <c r="BX32" s="32"/>
      <c r="BY32" s="32"/>
      <c r="BZ32" s="41"/>
      <c r="CA32" s="32"/>
      <c r="CB32" s="32"/>
      <c r="CC32" s="41"/>
      <c r="CD32" s="32"/>
      <c r="CE32" s="32"/>
      <c r="CF32" s="41"/>
      <c r="CG32" s="32"/>
      <c r="CH32" s="32"/>
      <c r="CI32" s="41"/>
      <c r="CJ32" s="32"/>
      <c r="CK32" s="32"/>
      <c r="CL32" s="41"/>
      <c r="CM32" s="32"/>
      <c r="CN32" s="32"/>
      <c r="CO32" s="41"/>
      <c r="CP32" s="32"/>
      <c r="CQ32" s="32"/>
      <c r="CR32" s="41"/>
      <c r="CS32" s="32"/>
      <c r="CT32" s="32"/>
      <c r="CU32" s="41"/>
      <c r="CV32" s="32"/>
      <c r="CW32" s="32"/>
      <c r="CX32" s="41"/>
      <c r="CY32" s="32"/>
      <c r="CZ32" s="32"/>
      <c r="DA32" s="41"/>
      <c r="DB32" s="32"/>
      <c r="DC32" s="32"/>
      <c r="DD32" s="41"/>
      <c r="DE32" s="32"/>
      <c r="DF32" s="32"/>
      <c r="DG32" s="41"/>
      <c r="DH32" s="32"/>
      <c r="DI32" s="32"/>
      <c r="DJ32" s="41"/>
      <c r="DK32" s="32"/>
      <c r="DL32" s="32"/>
      <c r="DM32" s="41"/>
      <c r="DN32" s="32"/>
      <c r="DO32" s="32"/>
      <c r="DP32" s="41"/>
      <c r="DQ32" s="32"/>
      <c r="DR32" s="32"/>
      <c r="DS32" s="41"/>
      <c r="DT32" s="32"/>
      <c r="DU32" s="32"/>
      <c r="DV32" s="41"/>
      <c r="DW32" s="32"/>
      <c r="DX32" s="32"/>
      <c r="DY32" s="41"/>
      <c r="DZ32" s="32"/>
      <c r="EA32" s="32"/>
      <c r="EB32" s="41"/>
      <c r="EC32" s="32"/>
      <c r="ED32" s="32"/>
      <c r="EE32" s="41"/>
      <c r="EF32" s="32"/>
      <c r="EG32" s="32"/>
      <c r="EI32" s="55"/>
    </row>
    <row r="33" spans="1:139" ht="19.5" thickBot="1" x14ac:dyDescent="0.25">
      <c r="A33" s="16">
        <f ca="1">合計!$A33</f>
        <v>45806</v>
      </c>
      <c r="B33" s="17" t="str">
        <f t="shared" si="4"/>
        <v/>
      </c>
      <c r="C33" s="17">
        <f t="shared" si="0"/>
        <v>0</v>
      </c>
      <c r="D33" s="17">
        <f t="shared" si="7"/>
        <v>0</v>
      </c>
      <c r="E33" s="17" t="str">
        <f t="shared" si="8"/>
        <v/>
      </c>
      <c r="F33" s="15">
        <f t="shared" si="6"/>
        <v>0</v>
      </c>
      <c r="G33" s="18" t="e">
        <f t="shared" si="2"/>
        <v>#VALUE!</v>
      </c>
      <c r="I33" s="29">
        <f t="shared" ca="1" si="3"/>
        <v>45806</v>
      </c>
      <c r="J33" s="34"/>
      <c r="K33" s="34"/>
      <c r="M33" s="63"/>
      <c r="N33" s="35"/>
      <c r="O33" s="59"/>
      <c r="P33" s="40"/>
      <c r="S33" s="32"/>
      <c r="T33" s="32"/>
      <c r="U33" s="41"/>
      <c r="V33" s="32"/>
      <c r="W33" s="32"/>
      <c r="X33" s="41"/>
      <c r="Y33" s="32"/>
      <c r="Z33" s="32"/>
      <c r="AA33" s="41"/>
      <c r="AB33" s="32"/>
      <c r="AC33" s="32"/>
      <c r="AD33" s="41"/>
      <c r="AE33" s="32"/>
      <c r="AF33" s="32"/>
      <c r="AG33" s="41"/>
      <c r="AH33" s="32"/>
      <c r="AI33" s="32"/>
      <c r="AJ33" s="41"/>
      <c r="AK33" s="32"/>
      <c r="AL33" s="32"/>
      <c r="AM33" s="41"/>
      <c r="AN33" s="32"/>
      <c r="AO33" s="32"/>
      <c r="AP33" s="41"/>
      <c r="AQ33" s="32"/>
      <c r="AR33" s="32"/>
      <c r="AS33" s="41"/>
      <c r="AT33" s="32"/>
      <c r="AU33" s="32"/>
      <c r="AV33" s="41"/>
      <c r="AW33" s="32"/>
      <c r="AX33" s="32"/>
      <c r="AY33" s="41"/>
      <c r="AZ33" s="32"/>
      <c r="BA33" s="32"/>
      <c r="BB33" s="41"/>
      <c r="BC33" s="32"/>
      <c r="BD33" s="32"/>
      <c r="BE33" s="41"/>
      <c r="BF33" s="32"/>
      <c r="BG33" s="32"/>
      <c r="BH33" s="41"/>
      <c r="BI33" s="32"/>
      <c r="BJ33" s="32"/>
      <c r="BK33" s="41"/>
      <c r="BL33" s="32"/>
      <c r="BM33" s="32"/>
      <c r="BN33" s="41"/>
      <c r="BO33" s="32"/>
      <c r="BP33" s="32"/>
      <c r="BQ33" s="41"/>
      <c r="BR33" s="32"/>
      <c r="BS33" s="32"/>
      <c r="BT33" s="41"/>
      <c r="BU33" s="32"/>
      <c r="BV33" s="32"/>
      <c r="BW33" s="41"/>
      <c r="BX33" s="32"/>
      <c r="BY33" s="32"/>
      <c r="BZ33" s="41"/>
      <c r="CA33" s="32"/>
      <c r="CB33" s="32"/>
      <c r="CC33" s="41"/>
      <c r="CD33" s="32"/>
      <c r="CE33" s="32"/>
      <c r="CF33" s="41"/>
      <c r="CG33" s="32"/>
      <c r="CH33" s="32"/>
      <c r="CI33" s="41"/>
      <c r="CJ33" s="32"/>
      <c r="CK33" s="32"/>
      <c r="CL33" s="41"/>
      <c r="CM33" s="32"/>
      <c r="CN33" s="32"/>
      <c r="CO33" s="41"/>
      <c r="CP33" s="32"/>
      <c r="CQ33" s="32"/>
      <c r="CR33" s="41"/>
      <c r="CS33" s="32"/>
      <c r="CT33" s="32"/>
      <c r="CU33" s="41"/>
      <c r="CV33" s="32"/>
      <c r="CW33" s="32"/>
      <c r="CX33" s="41"/>
      <c r="CY33" s="32"/>
      <c r="CZ33" s="32"/>
      <c r="DA33" s="41"/>
      <c r="DB33" s="32"/>
      <c r="DC33" s="32"/>
      <c r="DD33" s="41"/>
      <c r="DE33" s="32"/>
      <c r="DF33" s="32"/>
      <c r="DG33" s="41"/>
      <c r="DH33" s="32"/>
      <c r="DI33" s="32"/>
      <c r="DJ33" s="41"/>
      <c r="DK33" s="32"/>
      <c r="DL33" s="32"/>
      <c r="DM33" s="41"/>
      <c r="DN33" s="32"/>
      <c r="DO33" s="32"/>
      <c r="DP33" s="41"/>
      <c r="DQ33" s="32"/>
      <c r="DR33" s="32"/>
      <c r="DS33" s="41"/>
      <c r="DT33" s="32"/>
      <c r="DU33" s="32"/>
      <c r="DV33" s="41"/>
      <c r="DW33" s="32"/>
      <c r="DX33" s="32"/>
      <c r="DY33" s="41"/>
      <c r="DZ33" s="32"/>
      <c r="EA33" s="32"/>
      <c r="EB33" s="41"/>
      <c r="EC33" s="32"/>
      <c r="ED33" s="32"/>
      <c r="EE33" s="41"/>
      <c r="EF33" s="34"/>
      <c r="EG33" s="34"/>
      <c r="EI33" s="55"/>
    </row>
    <row r="34" spans="1:139" ht="19.5" thickBot="1" x14ac:dyDescent="0.25">
      <c r="A34" s="16">
        <f ca="1">合計!$A34</f>
        <v>45807</v>
      </c>
      <c r="B34" s="17" t="str">
        <f t="shared" si="4"/>
        <v/>
      </c>
      <c r="C34" s="17">
        <f t="shared" si="0"/>
        <v>0</v>
      </c>
      <c r="D34" s="17">
        <f t="shared" si="7"/>
        <v>0</v>
      </c>
      <c r="E34" s="17" t="str">
        <f t="shared" si="8"/>
        <v/>
      </c>
      <c r="F34" s="15">
        <f t="shared" si="6"/>
        <v>0</v>
      </c>
      <c r="G34" s="18" t="e">
        <f>D34/B34</f>
        <v>#VALUE!</v>
      </c>
      <c r="I34" s="29">
        <f t="shared" ca="1" si="3"/>
        <v>45807</v>
      </c>
      <c r="J34" s="32"/>
      <c r="K34" s="32"/>
      <c r="M34" s="63"/>
      <c r="N34" s="60"/>
      <c r="O34" s="61"/>
      <c r="P34" s="40"/>
      <c r="S34" s="32"/>
      <c r="T34" s="32"/>
      <c r="U34" s="41"/>
      <c r="V34" s="32"/>
      <c r="W34" s="32"/>
      <c r="X34" s="41"/>
      <c r="Y34" s="32"/>
      <c r="Z34" s="32"/>
      <c r="AA34" s="41"/>
      <c r="AB34" s="32"/>
      <c r="AC34" s="32"/>
      <c r="AD34" s="41"/>
      <c r="AE34" s="32"/>
      <c r="AF34" s="32"/>
      <c r="AG34" s="41"/>
      <c r="AH34" s="32"/>
      <c r="AI34" s="32"/>
      <c r="AJ34" s="41"/>
      <c r="AK34" s="32"/>
      <c r="AL34" s="32"/>
      <c r="AM34" s="41"/>
      <c r="AN34" s="32"/>
      <c r="AO34" s="32"/>
      <c r="AP34" s="41"/>
      <c r="AQ34" s="32"/>
      <c r="AR34" s="32"/>
      <c r="AS34" s="41"/>
      <c r="AT34" s="32"/>
      <c r="AU34" s="32"/>
      <c r="AV34" s="41"/>
      <c r="AW34" s="32"/>
      <c r="AX34" s="32"/>
      <c r="AY34" s="41"/>
      <c r="AZ34" s="32"/>
      <c r="BA34" s="32"/>
      <c r="BB34" s="41"/>
      <c r="BC34" s="32"/>
      <c r="BD34" s="32"/>
      <c r="BE34" s="41"/>
      <c r="BF34" s="32"/>
      <c r="BG34" s="32"/>
      <c r="BH34" s="41"/>
      <c r="BI34" s="32"/>
      <c r="BJ34" s="32"/>
      <c r="BK34" s="41"/>
      <c r="BL34" s="32"/>
      <c r="BM34" s="32"/>
      <c r="BN34" s="41"/>
      <c r="BO34" s="32"/>
      <c r="BP34" s="32"/>
      <c r="BQ34" s="41"/>
      <c r="BR34" s="32"/>
      <c r="BS34" s="32"/>
      <c r="BT34" s="41"/>
      <c r="BU34" s="32"/>
      <c r="BV34" s="32"/>
      <c r="BW34" s="41"/>
      <c r="BX34" s="32"/>
      <c r="BY34" s="32"/>
      <c r="BZ34" s="41"/>
      <c r="CA34" s="32"/>
      <c r="CB34" s="32"/>
      <c r="CC34" s="41"/>
      <c r="CD34" s="32"/>
      <c r="CE34" s="32"/>
      <c r="CF34" s="41"/>
      <c r="CG34" s="32"/>
      <c r="CH34" s="32"/>
      <c r="CI34" s="41"/>
      <c r="CJ34" s="32"/>
      <c r="CK34" s="32"/>
      <c r="CL34" s="41"/>
      <c r="CM34" s="32"/>
      <c r="CN34" s="32"/>
      <c r="CO34" s="41"/>
      <c r="CP34" s="32"/>
      <c r="CQ34" s="32"/>
      <c r="CR34" s="41"/>
      <c r="CS34" s="32"/>
      <c r="CT34" s="32"/>
      <c r="CU34" s="41"/>
      <c r="CV34" s="32"/>
      <c r="CW34" s="32"/>
      <c r="CX34" s="41"/>
      <c r="CY34" s="32"/>
      <c r="CZ34" s="32"/>
      <c r="DA34" s="41"/>
      <c r="DB34" s="32"/>
      <c r="DC34" s="32"/>
      <c r="DD34" s="41"/>
      <c r="DE34" s="32"/>
      <c r="DF34" s="32"/>
      <c r="DG34" s="41"/>
      <c r="DH34" s="32"/>
      <c r="DI34" s="32"/>
      <c r="DJ34" s="41"/>
      <c r="DK34" s="32"/>
      <c r="DL34" s="32"/>
      <c r="DM34" s="41"/>
      <c r="DN34" s="32"/>
      <c r="DO34" s="32"/>
      <c r="DP34" s="41"/>
      <c r="DQ34" s="32"/>
      <c r="DR34" s="32"/>
      <c r="DS34" s="41"/>
      <c r="DT34" s="32"/>
      <c r="DU34" s="32"/>
      <c r="DV34" s="41"/>
      <c r="DW34" s="32"/>
      <c r="DX34" s="32"/>
      <c r="DY34" s="41"/>
      <c r="DZ34" s="32"/>
      <c r="EA34" s="32"/>
      <c r="EB34" s="41"/>
      <c r="EC34" s="32"/>
      <c r="ED34" s="32"/>
      <c r="EE34" s="41"/>
      <c r="EF34" s="32"/>
      <c r="EG34" s="32"/>
    </row>
    <row r="35" spans="1:139" ht="19.5" thickBot="1" x14ac:dyDescent="0.25">
      <c r="A35" s="16">
        <f ca="1">合計!$A35</f>
        <v>45808</v>
      </c>
      <c r="B35" s="17" t="str">
        <f t="shared" si="4"/>
        <v/>
      </c>
      <c r="C35" s="17">
        <f t="shared" si="0"/>
        <v>0</v>
      </c>
      <c r="D35" s="17">
        <f t="shared" si="7"/>
        <v>0</v>
      </c>
      <c r="E35" s="17" t="str">
        <f t="shared" si="8"/>
        <v/>
      </c>
      <c r="F35" s="15">
        <f t="shared" si="6"/>
        <v>0</v>
      </c>
      <c r="G35" s="18" t="e">
        <f t="shared" si="2"/>
        <v>#VALUE!</v>
      </c>
      <c r="I35" s="29">
        <f t="shared" ca="1" si="3"/>
        <v>45808</v>
      </c>
      <c r="J35" s="32"/>
      <c r="K35" s="32"/>
      <c r="M35" s="64"/>
      <c r="N35" s="61"/>
      <c r="O35" s="61"/>
      <c r="P35" s="40"/>
      <c r="R35" s="46"/>
      <c r="S35" s="32"/>
      <c r="T35" s="32"/>
      <c r="U35" s="41"/>
      <c r="V35" s="32"/>
      <c r="W35" s="32"/>
      <c r="X35" s="41"/>
      <c r="Y35" s="32"/>
      <c r="Z35" s="32"/>
      <c r="AA35" s="41"/>
      <c r="AB35" s="32"/>
      <c r="AC35" s="32"/>
      <c r="AD35" s="41"/>
      <c r="AE35" s="32"/>
      <c r="AF35" s="32"/>
      <c r="AG35" s="41"/>
      <c r="AH35" s="32"/>
      <c r="AI35" s="32"/>
      <c r="AJ35" s="41"/>
      <c r="AK35" s="32"/>
      <c r="AL35" s="32"/>
      <c r="AM35" s="41"/>
      <c r="AN35" s="32"/>
      <c r="AO35" s="32"/>
      <c r="AP35" s="41"/>
      <c r="AQ35" s="32"/>
      <c r="AR35" s="32"/>
      <c r="AS35" s="41"/>
      <c r="AT35" s="32"/>
      <c r="AU35" s="32"/>
      <c r="AV35" s="41"/>
      <c r="AW35" s="32"/>
      <c r="AX35" s="32"/>
      <c r="AY35" s="41"/>
      <c r="AZ35" s="32"/>
      <c r="BA35" s="32"/>
      <c r="BB35" s="41"/>
      <c r="BC35" s="32"/>
      <c r="BD35" s="32"/>
      <c r="BE35" s="41"/>
      <c r="BF35" s="32"/>
      <c r="BG35" s="32"/>
      <c r="BH35" s="41"/>
      <c r="BI35" s="32"/>
      <c r="BJ35" s="32"/>
      <c r="BK35" s="41"/>
      <c r="BL35" s="32"/>
      <c r="BM35" s="32"/>
      <c r="BN35" s="41"/>
      <c r="BO35" s="32"/>
      <c r="BP35" s="32"/>
      <c r="BQ35" s="41"/>
      <c r="BR35" s="32"/>
      <c r="BS35" s="32"/>
      <c r="BT35" s="41"/>
      <c r="BU35" s="32"/>
      <c r="BV35" s="32"/>
      <c r="BW35" s="41"/>
      <c r="BX35" s="32"/>
      <c r="BY35" s="32"/>
      <c r="BZ35" s="41"/>
      <c r="CA35" s="32"/>
      <c r="CB35" s="32"/>
      <c r="CC35" s="41"/>
      <c r="CD35" s="32"/>
      <c r="CE35" s="32"/>
      <c r="CF35" s="41"/>
      <c r="CG35" s="32"/>
      <c r="CH35" s="32"/>
      <c r="CI35" s="41"/>
      <c r="CJ35" s="32"/>
      <c r="CK35" s="32"/>
      <c r="CL35" s="41"/>
      <c r="CM35" s="32"/>
      <c r="CN35" s="32"/>
      <c r="CO35" s="41"/>
      <c r="CP35" s="32"/>
      <c r="CQ35" s="32"/>
      <c r="CR35" s="41"/>
      <c r="CS35" s="32"/>
      <c r="CT35" s="32"/>
      <c r="CU35" s="41"/>
      <c r="CV35" s="32"/>
      <c r="CW35" s="32"/>
      <c r="CX35" s="41"/>
      <c r="CY35" s="32"/>
      <c r="CZ35" s="32"/>
      <c r="DA35" s="41"/>
      <c r="DB35" s="32"/>
      <c r="DC35" s="32"/>
      <c r="DD35" s="41"/>
      <c r="DE35" s="32"/>
      <c r="DF35" s="32"/>
      <c r="DG35" s="41"/>
      <c r="DH35" s="32"/>
      <c r="DI35" s="32"/>
      <c r="DJ35" s="41"/>
      <c r="DK35" s="32"/>
      <c r="DL35" s="32"/>
      <c r="DM35" s="41"/>
      <c r="DN35" s="32"/>
      <c r="DO35" s="32"/>
      <c r="DP35" s="41"/>
      <c r="DQ35" s="32"/>
      <c r="DR35" s="32"/>
      <c r="DS35" s="41"/>
      <c r="DT35" s="32"/>
      <c r="DU35" s="32"/>
      <c r="DV35" s="41"/>
      <c r="DW35" s="32"/>
      <c r="DX35" s="32"/>
      <c r="DY35" s="41"/>
      <c r="DZ35" s="32"/>
      <c r="EA35" s="32"/>
      <c r="EB35" s="41"/>
      <c r="EC35" s="32"/>
      <c r="ED35" s="32"/>
      <c r="EE35" s="41"/>
      <c r="EF35" s="32"/>
      <c r="EG35" s="32"/>
    </row>
    <row r="36" spans="1:139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 t="str">
        <f t="shared" si="1"/>
        <v/>
      </c>
      <c r="F36" s="15">
        <f>D36-C36</f>
        <v>0</v>
      </c>
      <c r="G36" s="18" t="e">
        <f>D36/B36</f>
        <v>#DIV/0!</v>
      </c>
      <c r="O36" s="61"/>
      <c r="S36" s="32"/>
      <c r="T36" s="32"/>
      <c r="U36" s="41"/>
      <c r="V36" s="32"/>
      <c r="W36" s="32"/>
      <c r="X36" s="41"/>
      <c r="Y36" s="32"/>
      <c r="Z36" s="32"/>
      <c r="AA36" s="41"/>
      <c r="AB36" s="32"/>
      <c r="AC36" s="32"/>
      <c r="AD36" s="41"/>
      <c r="AE36" s="32"/>
      <c r="AF36" s="32"/>
      <c r="AG36" s="41"/>
      <c r="AH36" s="32"/>
      <c r="AI36" s="32"/>
      <c r="AJ36" s="41"/>
      <c r="AK36" s="32"/>
      <c r="AL36" s="32"/>
      <c r="AM36" s="41"/>
      <c r="AN36" s="32"/>
      <c r="AO36" s="32"/>
      <c r="AP36" s="41"/>
      <c r="AQ36" s="32"/>
      <c r="AR36" s="32"/>
      <c r="AS36" s="41"/>
      <c r="AT36" s="32"/>
      <c r="AU36" s="32"/>
      <c r="AV36" s="41"/>
      <c r="AW36" s="32"/>
      <c r="AX36" s="32"/>
      <c r="AY36" s="41"/>
      <c r="AZ36" s="32"/>
      <c r="BA36" s="32"/>
      <c r="BB36" s="41"/>
      <c r="BC36" s="32"/>
      <c r="BD36" s="32"/>
      <c r="BE36" s="41"/>
      <c r="BF36" s="32"/>
      <c r="BG36" s="32"/>
      <c r="BH36" s="41"/>
      <c r="BI36" s="32"/>
      <c r="BJ36" s="32"/>
      <c r="BK36" s="41"/>
      <c r="BL36" s="32"/>
      <c r="BM36" s="32"/>
      <c r="BN36" s="41"/>
      <c r="BO36" s="32"/>
      <c r="BP36" s="32"/>
      <c r="BQ36" s="41"/>
      <c r="BR36" s="32"/>
      <c r="BS36" s="32"/>
      <c r="BT36" s="41"/>
      <c r="BU36" s="32"/>
      <c r="BV36" s="32"/>
      <c r="BW36" s="41"/>
      <c r="BX36" s="32"/>
      <c r="BY36" s="32"/>
      <c r="BZ36" s="41"/>
      <c r="CA36" s="32"/>
      <c r="CB36" s="32"/>
      <c r="CC36" s="41"/>
      <c r="CD36" s="32"/>
      <c r="CE36" s="32"/>
      <c r="CF36" s="41"/>
      <c r="CG36" s="32"/>
      <c r="CH36" s="32"/>
      <c r="CI36" s="41"/>
      <c r="CJ36" s="32"/>
      <c r="CK36" s="32"/>
      <c r="CL36" s="41"/>
      <c r="CM36" s="32"/>
      <c r="CN36" s="32"/>
      <c r="CO36" s="41"/>
      <c r="CP36" s="32"/>
      <c r="CQ36" s="32"/>
      <c r="CR36" s="41"/>
      <c r="CS36" s="32"/>
      <c r="CT36" s="32"/>
      <c r="CU36" s="41"/>
      <c r="CV36" s="32"/>
      <c r="CW36" s="32"/>
      <c r="CX36" s="41"/>
      <c r="CY36" s="32"/>
      <c r="CZ36" s="32"/>
      <c r="DA36" s="41"/>
      <c r="DB36" s="32"/>
      <c r="DC36" s="32"/>
      <c r="DD36" s="41"/>
      <c r="DE36" s="32"/>
      <c r="DF36" s="32"/>
      <c r="DG36" s="41"/>
      <c r="DH36" s="32"/>
      <c r="DI36" s="32"/>
      <c r="DJ36" s="41"/>
      <c r="DK36" s="32"/>
      <c r="DL36" s="32"/>
      <c r="DM36" s="41"/>
      <c r="DN36" s="32"/>
      <c r="DO36" s="32"/>
      <c r="DP36" s="41"/>
      <c r="DQ36" s="32"/>
      <c r="DR36" s="32"/>
      <c r="DS36" s="41"/>
      <c r="DT36" s="32"/>
      <c r="DU36" s="32"/>
      <c r="DV36" s="41"/>
      <c r="DW36" s="32"/>
      <c r="DX36" s="32"/>
      <c r="DY36" s="41"/>
      <c r="DZ36" s="32"/>
      <c r="EA36" s="32"/>
      <c r="EB36" s="41"/>
      <c r="EC36" s="32"/>
      <c r="ED36" s="32"/>
      <c r="EE36" s="41"/>
      <c r="EF36" s="32"/>
      <c r="EG36" s="32"/>
    </row>
    <row r="37" spans="1:139" x14ac:dyDescent="0.4">
      <c r="B37" s="24"/>
    </row>
    <row r="45" spans="1:139" x14ac:dyDescent="0.4">
      <c r="C45" s="27"/>
      <c r="G45" s="27"/>
    </row>
    <row r="46" spans="1:139" x14ac:dyDescent="0.4">
      <c r="G46" s="27"/>
    </row>
    <row r="47" spans="1:139" x14ac:dyDescent="0.4">
      <c r="G47" s="27"/>
    </row>
    <row r="48" spans="1:139" x14ac:dyDescent="0.4">
      <c r="G48" s="27"/>
    </row>
    <row r="49" spans="7:7" x14ac:dyDescent="0.4">
      <c r="G49" s="27"/>
    </row>
    <row r="51" spans="7:7" x14ac:dyDescent="0.4">
      <c r="G51" s="27"/>
    </row>
    <row r="53" spans="7:7" x14ac:dyDescent="0.4">
      <c r="G53" s="27"/>
    </row>
    <row r="54" spans="7:7" x14ac:dyDescent="0.4">
      <c r="G54" s="27"/>
    </row>
  </sheetData>
  <mergeCells count="41">
    <mergeCell ref="B2:G2"/>
    <mergeCell ref="T3:U3"/>
    <mergeCell ref="W3:X3"/>
    <mergeCell ref="Z3:AA3"/>
    <mergeCell ref="AC3:AD3"/>
    <mergeCell ref="BM3:BN3"/>
    <mergeCell ref="AF3:AG3"/>
    <mergeCell ref="AI3:AJ3"/>
    <mergeCell ref="AL3:AM3"/>
    <mergeCell ref="AO3:AP3"/>
    <mergeCell ref="AR3:AS3"/>
    <mergeCell ref="AU3:AV3"/>
    <mergeCell ref="AX3:AY3"/>
    <mergeCell ref="BA3:BB3"/>
    <mergeCell ref="BD3:BE3"/>
    <mergeCell ref="BG3:BH3"/>
    <mergeCell ref="BJ3:BK3"/>
    <mergeCell ref="CW3:CX3"/>
    <mergeCell ref="BP3:BQ3"/>
    <mergeCell ref="BS3:BT3"/>
    <mergeCell ref="BV3:BW3"/>
    <mergeCell ref="BY3:BZ3"/>
    <mergeCell ref="CB3:CC3"/>
    <mergeCell ref="CE3:CF3"/>
    <mergeCell ref="CH3:CI3"/>
    <mergeCell ref="CK3:CL3"/>
    <mergeCell ref="CN3:CO3"/>
    <mergeCell ref="CQ3:CR3"/>
    <mergeCell ref="CT3:CU3"/>
    <mergeCell ref="EG3:EH3"/>
    <mergeCell ref="CZ3:DA3"/>
    <mergeCell ref="DC3:DD3"/>
    <mergeCell ref="DF3:DG3"/>
    <mergeCell ref="DI3:DJ3"/>
    <mergeCell ref="DL3:DM3"/>
    <mergeCell ref="DO3:DP3"/>
    <mergeCell ref="DR3:DS3"/>
    <mergeCell ref="DU3:DV3"/>
    <mergeCell ref="DX3:DY3"/>
    <mergeCell ref="EA3:EB3"/>
    <mergeCell ref="ED3:EE3"/>
  </mergeCells>
  <phoneticPr fontId="3"/>
  <conditionalFormatting sqref="R35">
    <cfRule type="expression" dxfId="29" priority="5">
      <formula>WEEKDAY(R35)=7</formula>
    </cfRule>
    <cfRule type="expression" dxfId="28" priority="6">
      <formula>WEEKDAY(R35)=1</formula>
    </cfRule>
  </conditionalFormatting>
  <conditionalFormatting sqref="A5:A35">
    <cfRule type="expression" dxfId="27" priority="1">
      <formula>WEEKDAY(A5)=7</formula>
    </cfRule>
    <cfRule type="expression" dxfId="26" priority="2">
      <formula>WEEKDAY(A5)=1</formula>
    </cfRule>
  </conditionalFormatting>
  <pageMargins left="0.7" right="0.7" top="0.75" bottom="0.75" header="0.3" footer="0.3"/>
  <ignoredErrors>
    <ignoredError sqref="D27 E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B2:K36"/>
  <sheetViews>
    <sheetView workbookViewId="0">
      <selection activeCell="I16" sqref="I16"/>
    </sheetView>
  </sheetViews>
  <sheetFormatPr defaultRowHeight="18.75" x14ac:dyDescent="0.4"/>
  <cols>
    <col min="3" max="3" width="13.875" bestFit="1" customWidth="1"/>
  </cols>
  <sheetData>
    <row r="2" spans="2:8" x14ac:dyDescent="0.4">
      <c r="B2" s="2"/>
      <c r="C2" s="116" t="s">
        <v>37</v>
      </c>
      <c r="D2" s="116"/>
      <c r="E2" s="116"/>
      <c r="F2" s="117"/>
    </row>
    <row r="3" spans="2:8" x14ac:dyDescent="0.4">
      <c r="B3" s="2"/>
      <c r="C3" s="118"/>
      <c r="D3" s="118"/>
      <c r="E3" s="118"/>
      <c r="F3" s="119"/>
    </row>
    <row r="4" spans="2:8" x14ac:dyDescent="0.4">
      <c r="B4" s="2"/>
      <c r="C4" s="2" t="s">
        <v>38</v>
      </c>
      <c r="D4" s="14" t="s">
        <v>11</v>
      </c>
      <c r="E4" s="14" t="s">
        <v>12</v>
      </c>
      <c r="F4" s="2" t="s">
        <v>13</v>
      </c>
      <c r="G4" s="15" t="s">
        <v>27</v>
      </c>
      <c r="H4" s="2" t="s">
        <v>15</v>
      </c>
    </row>
    <row r="5" spans="2:8" x14ac:dyDescent="0.4">
      <c r="B5" s="16">
        <f ca="1">合計!$A5</f>
        <v>45778</v>
      </c>
      <c r="C5" s="17">
        <f>IFERROR(zucks!B5+UZOU!B5+アイモバイル!B5+Cirqua!B5+ADroute!B5+Octopus!B5,0)</f>
        <v>0</v>
      </c>
      <c r="D5" s="17">
        <f>SUM(アイモバイル:mixxAD!C5)</f>
        <v>0</v>
      </c>
      <c r="E5" s="17">
        <f>SUM(アイモバイル:mixxAD!D5)</f>
        <v>0</v>
      </c>
      <c r="F5" s="17">
        <f>IFERROR(zucks!E5+UZOU!E5+アイモバイル!E5+Cirqua!E5+ADroute!E5+Octopus!E5,0)</f>
        <v>0</v>
      </c>
      <c r="G5" s="15">
        <f t="shared" ref="G5:G36" si="0">E5-D5</f>
        <v>0</v>
      </c>
      <c r="H5" s="18" t="e">
        <f t="shared" ref="H5:H36" si="1">E5/D5</f>
        <v>#DIV/0!</v>
      </c>
    </row>
    <row r="6" spans="2:8" x14ac:dyDescent="0.4">
      <c r="B6" s="16">
        <f ca="1">合計!$A6</f>
        <v>45779</v>
      </c>
      <c r="C6" s="17">
        <f>IFERROR(zucks!B6+UZOU!B6+アイモバイル!B6+Cirqua!B6+ADroute!B6+Octopus!B6,0)</f>
        <v>0</v>
      </c>
      <c r="D6" s="17">
        <f>SUM(アイモバイル:mixxAD!C6)</f>
        <v>0</v>
      </c>
      <c r="E6" s="17">
        <f>SUM(アイモバイル:mixxAD!D6)</f>
        <v>0</v>
      </c>
      <c r="F6" s="17">
        <f>IFERROR(zucks!E6+UZOU!E6+アイモバイル!E6+Cirqua!E6+ADroute!E6+Octopus!E6,0)</f>
        <v>0</v>
      </c>
      <c r="G6" s="15">
        <f t="shared" si="0"/>
        <v>0</v>
      </c>
      <c r="H6" s="18" t="e">
        <f t="shared" si="1"/>
        <v>#DIV/0!</v>
      </c>
    </row>
    <row r="7" spans="2:8" x14ac:dyDescent="0.4">
      <c r="B7" s="16">
        <f ca="1">合計!$A7</f>
        <v>45780</v>
      </c>
      <c r="C7" s="17">
        <f>IFERROR(zucks!B7+UZOU!B7+アイモバイル!B7+Cirqua!B7+ADroute!B7+Octopus!B7,0)</f>
        <v>0</v>
      </c>
      <c r="D7" s="17">
        <f>SUM(アイモバイル:mixxAD!C7)</f>
        <v>0</v>
      </c>
      <c r="E7" s="17">
        <f>SUM(アイモバイル:mixxAD!D7)</f>
        <v>0</v>
      </c>
      <c r="F7" s="17">
        <f>IFERROR(zucks!E7+UZOU!E7+アイモバイル!E7+Cirqua!E7+ADroute!E7+Octopus!E7,0)</f>
        <v>0</v>
      </c>
      <c r="G7" s="15">
        <f t="shared" si="0"/>
        <v>0</v>
      </c>
      <c r="H7" s="18" t="e">
        <f t="shared" si="1"/>
        <v>#DIV/0!</v>
      </c>
    </row>
    <row r="8" spans="2:8" x14ac:dyDescent="0.4">
      <c r="B8" s="16">
        <f ca="1">合計!$A8</f>
        <v>45781</v>
      </c>
      <c r="C8" s="17">
        <f>IFERROR(zucks!B8+UZOU!B8+アイモバイル!B8+Cirqua!B8+ADroute!B8+Octopus!B8,0)</f>
        <v>0</v>
      </c>
      <c r="D8" s="17">
        <f>SUM(アイモバイル:mixxAD!C8)</f>
        <v>0</v>
      </c>
      <c r="E8" s="17">
        <f>SUM(アイモバイル:mixxAD!D8)</f>
        <v>0</v>
      </c>
      <c r="F8" s="17">
        <f>IFERROR(zucks!E8+UZOU!E8+アイモバイル!E8+Cirqua!E8+ADroute!E8+Octopus!E8,0)</f>
        <v>0</v>
      </c>
      <c r="G8" s="15">
        <f t="shared" si="0"/>
        <v>0</v>
      </c>
      <c r="H8" s="18" t="e">
        <f t="shared" si="1"/>
        <v>#DIV/0!</v>
      </c>
    </row>
    <row r="9" spans="2:8" x14ac:dyDescent="0.4">
      <c r="B9" s="16">
        <f ca="1">合計!$A9</f>
        <v>45782</v>
      </c>
      <c r="C9" s="17">
        <f>IFERROR(zucks!B9+UZOU!B9+アイモバイル!B9+Cirqua!B9+ADroute!B9+Octopus!B9,0)</f>
        <v>0</v>
      </c>
      <c r="D9" s="17">
        <f>SUM(アイモバイル:mixxAD!C9)</f>
        <v>0</v>
      </c>
      <c r="E9" s="17">
        <f>SUM(アイモバイル:mixxAD!D9)</f>
        <v>0</v>
      </c>
      <c r="F9" s="17">
        <f>IFERROR(zucks!E9+UZOU!E9+アイモバイル!E9+Cirqua!E9+ADroute!E9+Octopus!E9,0)</f>
        <v>0</v>
      </c>
      <c r="G9" s="15">
        <f t="shared" si="0"/>
        <v>0</v>
      </c>
      <c r="H9" s="18" t="e">
        <f t="shared" si="1"/>
        <v>#DIV/0!</v>
      </c>
    </row>
    <row r="10" spans="2:8" x14ac:dyDescent="0.4">
      <c r="B10" s="16">
        <f ca="1">合計!$A10</f>
        <v>45783</v>
      </c>
      <c r="C10" s="17">
        <f>IFERROR(zucks!B10+UZOU!B10+アイモバイル!B10+Cirqua!B10+ADroute!B10+Octopus!B10,0)</f>
        <v>0</v>
      </c>
      <c r="D10" s="17">
        <f>SUM(アイモバイル:mixxAD!C10)</f>
        <v>0</v>
      </c>
      <c r="E10" s="17">
        <f>SUM(アイモバイル:mixxAD!D10)</f>
        <v>0</v>
      </c>
      <c r="F10" s="17">
        <f>IFERROR(zucks!E10+UZOU!E10+アイモバイル!E10+Cirqua!E10+ADroute!E10+Octopus!E10,0)</f>
        <v>0</v>
      </c>
      <c r="G10" s="15">
        <f t="shared" si="0"/>
        <v>0</v>
      </c>
      <c r="H10" s="18" t="e">
        <f t="shared" si="1"/>
        <v>#DIV/0!</v>
      </c>
    </row>
    <row r="11" spans="2:8" x14ac:dyDescent="0.4">
      <c r="B11" s="16">
        <f ca="1">合計!$A11</f>
        <v>45784</v>
      </c>
      <c r="C11" s="17">
        <f>IFERROR(zucks!B11+UZOU!B11+アイモバイル!B11+Cirqua!B11+ADroute!B11+Octopus!B11,0)</f>
        <v>0</v>
      </c>
      <c r="D11" s="17">
        <f>SUM(アイモバイル:mixxAD!C11)</f>
        <v>0</v>
      </c>
      <c r="E11" s="17">
        <f>SUM(アイモバイル:mixxAD!D11)</f>
        <v>0</v>
      </c>
      <c r="F11" s="17">
        <f>IFERROR(zucks!E11+UZOU!E11+アイモバイル!E11+Cirqua!E11+ADroute!E11+Octopus!E11,0)</f>
        <v>0</v>
      </c>
      <c r="G11" s="15">
        <f t="shared" si="0"/>
        <v>0</v>
      </c>
      <c r="H11" s="18" t="e">
        <f t="shared" si="1"/>
        <v>#DIV/0!</v>
      </c>
    </row>
    <row r="12" spans="2:8" x14ac:dyDescent="0.4">
      <c r="B12" s="16">
        <f ca="1">合計!$A12</f>
        <v>45785</v>
      </c>
      <c r="C12" s="17">
        <f>IFERROR(zucks!B12+UZOU!B12+アイモバイル!B12+Cirqua!B12+ADroute!B12+Octopus!B12,0)</f>
        <v>0</v>
      </c>
      <c r="D12" s="17">
        <f>SUM(アイモバイル:mixxAD!C12)</f>
        <v>0</v>
      </c>
      <c r="E12" s="17">
        <f>SUM(アイモバイル:mixxAD!D12)</f>
        <v>0</v>
      </c>
      <c r="F12" s="17">
        <f>IFERROR(zucks!E12+UZOU!E12+アイモバイル!E12+Cirqua!E12+ADroute!E12+Octopus!E12,0)</f>
        <v>0</v>
      </c>
      <c r="G12" s="15">
        <f t="shared" si="0"/>
        <v>0</v>
      </c>
      <c r="H12" s="18" t="e">
        <f t="shared" si="1"/>
        <v>#DIV/0!</v>
      </c>
    </row>
    <row r="13" spans="2:8" x14ac:dyDescent="0.4">
      <c r="B13" s="16">
        <f ca="1">合計!$A13</f>
        <v>45786</v>
      </c>
      <c r="C13" s="17">
        <f>IFERROR(zucks!B13+UZOU!B13+アイモバイル!B13+Cirqua!B13+ADroute!B13+Octopus!B13,0)</f>
        <v>0</v>
      </c>
      <c r="D13" s="17">
        <f>SUM(アイモバイル:mixxAD!C13)</f>
        <v>0</v>
      </c>
      <c r="E13" s="17">
        <f>SUM(アイモバイル:mixxAD!D13)</f>
        <v>0</v>
      </c>
      <c r="F13" s="17">
        <f>IFERROR(zucks!E13+UZOU!E13+アイモバイル!E13+Cirqua!E13+ADroute!E13+Octopus!E13,0)</f>
        <v>0</v>
      </c>
      <c r="G13" s="15">
        <f t="shared" si="0"/>
        <v>0</v>
      </c>
      <c r="H13" s="18" t="e">
        <f t="shared" si="1"/>
        <v>#DIV/0!</v>
      </c>
    </row>
    <row r="14" spans="2:8" x14ac:dyDescent="0.4">
      <c r="B14" s="16">
        <f ca="1">合計!$A14</f>
        <v>45787</v>
      </c>
      <c r="C14" s="17">
        <f>IFERROR(zucks!B14+UZOU!B14+アイモバイル!B14+Cirqua!B14+ADroute!B14+Octopus!B14,0)</f>
        <v>0</v>
      </c>
      <c r="D14" s="17">
        <f>SUM(アイモバイル:mixxAD!C14)</f>
        <v>0</v>
      </c>
      <c r="E14" s="17">
        <f>SUM(アイモバイル:mixxAD!D14)</f>
        <v>0</v>
      </c>
      <c r="F14" s="17">
        <f>IFERROR(zucks!E14+UZOU!E14+アイモバイル!E14+Cirqua!E14+ADroute!E14+Octopus!E14,0)</f>
        <v>0</v>
      </c>
      <c r="G14" s="15">
        <f t="shared" si="0"/>
        <v>0</v>
      </c>
      <c r="H14" s="18" t="e">
        <f t="shared" si="1"/>
        <v>#DIV/0!</v>
      </c>
    </row>
    <row r="15" spans="2:8" x14ac:dyDescent="0.4">
      <c r="B15" s="16">
        <f ca="1">合計!$A15</f>
        <v>45788</v>
      </c>
      <c r="C15" s="17">
        <f>IFERROR(zucks!B15+UZOU!B15+アイモバイル!B15+Cirqua!B15+ADroute!B15+Octopus!B15,0)</f>
        <v>0</v>
      </c>
      <c r="D15" s="17">
        <f>SUM(アイモバイル:mixxAD!C15)</f>
        <v>0</v>
      </c>
      <c r="E15" s="17">
        <f>SUM(アイモバイル:mixxAD!D15)</f>
        <v>0</v>
      </c>
      <c r="F15" s="17">
        <f>IFERROR(zucks!E15+UZOU!E15+アイモバイル!E15+Cirqua!E15+ADroute!E15+Octopus!E15,0)</f>
        <v>0</v>
      </c>
      <c r="G15" s="15">
        <f t="shared" si="0"/>
        <v>0</v>
      </c>
      <c r="H15" s="18" t="e">
        <f t="shared" si="1"/>
        <v>#DIV/0!</v>
      </c>
    </row>
    <row r="16" spans="2:8" x14ac:dyDescent="0.4">
      <c r="B16" s="16">
        <f ca="1">合計!$A16</f>
        <v>45789</v>
      </c>
      <c r="C16" s="17">
        <f>IFERROR(zucks!B16+UZOU!B16+アイモバイル!B16+Cirqua!B16+ADroute!B16+Octopus!B16,0)</f>
        <v>0</v>
      </c>
      <c r="D16" s="17">
        <f>SUM(アイモバイル:mixxAD!C16)</f>
        <v>0</v>
      </c>
      <c r="E16" s="17">
        <f>SUM(アイモバイル:mixxAD!D16)</f>
        <v>0</v>
      </c>
      <c r="F16" s="17">
        <f>IFERROR(zucks!E16+UZOU!E16+アイモバイル!E16+Cirqua!E16+ADroute!E16+Octopus!E16,0)</f>
        <v>0</v>
      </c>
      <c r="G16" s="15">
        <f t="shared" si="0"/>
        <v>0</v>
      </c>
      <c r="H16" s="18" t="e">
        <f t="shared" si="1"/>
        <v>#DIV/0!</v>
      </c>
    </row>
    <row r="17" spans="2:11" x14ac:dyDescent="0.4">
      <c r="B17" s="16">
        <f ca="1">合計!$A17</f>
        <v>45790</v>
      </c>
      <c r="C17" s="17">
        <f>IFERROR(zucks!B17+UZOU!B17+アイモバイル!B17+Cirqua!B17+ADroute!B17+Octopus!B17,0)</f>
        <v>0</v>
      </c>
      <c r="D17" s="17">
        <f>SUM(アイモバイル:mixxAD!C17)</f>
        <v>0</v>
      </c>
      <c r="E17" s="17">
        <f>SUM(アイモバイル:mixxAD!D17)</f>
        <v>0</v>
      </c>
      <c r="F17" s="17">
        <f>IFERROR(zucks!E17+UZOU!E17+アイモバイル!E17+Cirqua!E17+ADroute!E17+Octopus!E17,0)</f>
        <v>0</v>
      </c>
      <c r="G17" s="15">
        <f t="shared" si="0"/>
        <v>0</v>
      </c>
      <c r="H17" s="18" t="e">
        <f t="shared" si="1"/>
        <v>#DIV/0!</v>
      </c>
    </row>
    <row r="18" spans="2:11" x14ac:dyDescent="0.4">
      <c r="B18" s="16">
        <f ca="1">合計!$A18</f>
        <v>45791</v>
      </c>
      <c r="C18" s="17">
        <f>IFERROR(zucks!B18+UZOU!B18+アイモバイル!B18+Cirqua!B18+ADroute!B18+Octopus!B18,0)</f>
        <v>0</v>
      </c>
      <c r="D18" s="17">
        <f>SUM(アイモバイル:mixxAD!C18)</f>
        <v>0</v>
      </c>
      <c r="E18" s="17">
        <f>SUM(アイモバイル:mixxAD!D18)</f>
        <v>0</v>
      </c>
      <c r="F18" s="17">
        <f>IFERROR(zucks!E18+UZOU!E18+アイモバイル!E18+Cirqua!E18+ADroute!E18+Octopus!E18,0)</f>
        <v>0</v>
      </c>
      <c r="G18" s="15">
        <f t="shared" si="0"/>
        <v>0</v>
      </c>
      <c r="H18" s="18" t="e">
        <f t="shared" si="1"/>
        <v>#DIV/0!</v>
      </c>
    </row>
    <row r="19" spans="2:11" x14ac:dyDescent="0.4">
      <c r="B19" s="16">
        <f ca="1">合計!$A19</f>
        <v>45792</v>
      </c>
      <c r="C19" s="17">
        <f>IFERROR(zucks!B19+UZOU!B19+アイモバイル!B19+Cirqua!B19+ADroute!B19+Octopus!B19,0)</f>
        <v>0</v>
      </c>
      <c r="D19" s="17">
        <f>SUM(アイモバイル:mixxAD!C19)</f>
        <v>0</v>
      </c>
      <c r="E19" s="17">
        <f>SUM(アイモバイル:mixxAD!D19)</f>
        <v>0</v>
      </c>
      <c r="F19" s="17">
        <f>IFERROR(zucks!E19+UZOU!E19+アイモバイル!E19+Cirqua!E19+ADroute!E19+Octopus!E19,0)</f>
        <v>0</v>
      </c>
      <c r="G19" s="15">
        <f t="shared" si="0"/>
        <v>0</v>
      </c>
      <c r="H19" s="18" t="e">
        <f t="shared" si="1"/>
        <v>#DIV/0!</v>
      </c>
    </row>
    <row r="20" spans="2:11" x14ac:dyDescent="0.4">
      <c r="B20" s="16">
        <f ca="1">合計!$A20</f>
        <v>45793</v>
      </c>
      <c r="C20" s="17">
        <f>IFERROR(zucks!B20+UZOU!B20+アイモバイル!B20+Cirqua!B20+ADroute!B20+Octopus!B20,0)</f>
        <v>0</v>
      </c>
      <c r="D20" s="17">
        <f>SUM(アイモバイル:mixxAD!C20)</f>
        <v>0</v>
      </c>
      <c r="E20" s="17">
        <f>SUM(アイモバイル:mixxAD!D20)</f>
        <v>0</v>
      </c>
      <c r="F20" s="17">
        <f>IFERROR(zucks!E20+UZOU!E20+アイモバイル!E20+Cirqua!E20+ADroute!E20+Octopus!E20,0)</f>
        <v>0</v>
      </c>
      <c r="G20" s="15">
        <f t="shared" si="0"/>
        <v>0</v>
      </c>
      <c r="H20" s="18" t="e">
        <f t="shared" si="1"/>
        <v>#DIV/0!</v>
      </c>
    </row>
    <row r="21" spans="2:11" x14ac:dyDescent="0.4">
      <c r="B21" s="16">
        <f ca="1">合計!$A21</f>
        <v>45794</v>
      </c>
      <c r="C21" s="17">
        <f>IFERROR(zucks!B21+UZOU!B21+アイモバイル!B21+Cirqua!B21+ADroute!B21+Octopus!B21,0)</f>
        <v>0</v>
      </c>
      <c r="D21" s="17">
        <f>SUM(アイモバイル:mixxAD!C21)</f>
        <v>0</v>
      </c>
      <c r="E21" s="17">
        <f>SUM(アイモバイル:mixxAD!D21)</f>
        <v>0</v>
      </c>
      <c r="F21" s="17">
        <f>IFERROR(zucks!E21+UZOU!E21+アイモバイル!E21+Cirqua!E21+ADroute!E21+Octopus!E21,0)</f>
        <v>0</v>
      </c>
      <c r="G21" s="15">
        <f t="shared" si="0"/>
        <v>0</v>
      </c>
      <c r="H21" s="18" t="e">
        <f t="shared" si="1"/>
        <v>#DIV/0!</v>
      </c>
      <c r="J21" s="35"/>
      <c r="K21" s="35"/>
    </row>
    <row r="22" spans="2:11" x14ac:dyDescent="0.4">
      <c r="B22" s="16">
        <f ca="1">合計!$A22</f>
        <v>45795</v>
      </c>
      <c r="C22" s="17">
        <f>IFERROR(zucks!B22+UZOU!B22+アイモバイル!B22+Cirqua!B22+ADroute!B22+Octopus!B22,0)</f>
        <v>0</v>
      </c>
      <c r="D22" s="17">
        <f>SUM(アイモバイル:mixxAD!C22)</f>
        <v>0</v>
      </c>
      <c r="E22" s="17">
        <f>SUM(アイモバイル:mixxAD!D22)</f>
        <v>0</v>
      </c>
      <c r="F22" s="17">
        <f>IFERROR(zucks!E22+UZOU!E22+アイモバイル!E22+Cirqua!E22+ADroute!E22+Octopus!E22,0)</f>
        <v>0</v>
      </c>
      <c r="G22" s="15">
        <f t="shared" si="0"/>
        <v>0</v>
      </c>
      <c r="H22" s="18" t="e">
        <f t="shared" si="1"/>
        <v>#DIV/0!</v>
      </c>
      <c r="J22" s="35"/>
      <c r="K22" s="35"/>
    </row>
    <row r="23" spans="2:11" x14ac:dyDescent="0.4">
      <c r="B23" s="16">
        <f ca="1">合計!$A23</f>
        <v>45796</v>
      </c>
      <c r="C23" s="17">
        <f>IFERROR(zucks!B23+UZOU!B23+アイモバイル!B23+Cirqua!B23+ADroute!B23+Octopus!B23,0)</f>
        <v>0</v>
      </c>
      <c r="D23" s="17">
        <f>SUM(アイモバイル:mixxAD!C23)</f>
        <v>0</v>
      </c>
      <c r="E23" s="17">
        <f>SUM(アイモバイル:mixxAD!D23)</f>
        <v>0</v>
      </c>
      <c r="F23" s="17">
        <f>IFERROR(zucks!E23+UZOU!E23+アイモバイル!E23+Cirqua!E23+ADroute!E23+Octopus!E23,0)</f>
        <v>0</v>
      </c>
      <c r="G23" s="15">
        <f t="shared" si="0"/>
        <v>0</v>
      </c>
      <c r="H23" s="18" t="e">
        <f t="shared" si="1"/>
        <v>#DIV/0!</v>
      </c>
      <c r="J23" s="35"/>
      <c r="K23" s="35"/>
    </row>
    <row r="24" spans="2:11" x14ac:dyDescent="0.4">
      <c r="B24" s="16">
        <f ca="1">合計!$A24</f>
        <v>45797</v>
      </c>
      <c r="C24" s="17">
        <f>IFERROR(zucks!B24+UZOU!B24+アイモバイル!B24+Cirqua!B24+ADroute!B24+Octopus!B24,0)</f>
        <v>0</v>
      </c>
      <c r="D24" s="17">
        <f>SUM(アイモバイル:mixxAD!C24)</f>
        <v>0</v>
      </c>
      <c r="E24" s="17">
        <f>SUM(アイモバイル:mixxAD!D24)</f>
        <v>0</v>
      </c>
      <c r="F24" s="17">
        <f>IFERROR(zucks!E24+UZOU!E24+アイモバイル!E24+Cirqua!E24+ADroute!E24+Octopus!E24,0)</f>
        <v>0</v>
      </c>
      <c r="G24" s="15">
        <f t="shared" si="0"/>
        <v>0</v>
      </c>
      <c r="H24" s="18" t="e">
        <f t="shared" si="1"/>
        <v>#DIV/0!</v>
      </c>
      <c r="J24" s="35"/>
      <c r="K24" s="35"/>
    </row>
    <row r="25" spans="2:11" x14ac:dyDescent="0.4">
      <c r="B25" s="16">
        <f ca="1">合計!$A25</f>
        <v>45798</v>
      </c>
      <c r="C25" s="17">
        <f>IFERROR(zucks!B25+UZOU!B25+アイモバイル!B25+Cirqua!B25+ADroute!B25+Octopus!B25,0)</f>
        <v>0</v>
      </c>
      <c r="D25" s="17">
        <f>SUM(アイモバイル:mixxAD!C25)</f>
        <v>0</v>
      </c>
      <c r="E25" s="17">
        <f>SUM(アイモバイル:mixxAD!D25)</f>
        <v>0</v>
      </c>
      <c r="F25" s="17">
        <f>IFERROR(zucks!E25+UZOU!E25+アイモバイル!E25+Cirqua!E25+ADroute!E25+Octopus!E25,0)</f>
        <v>0</v>
      </c>
      <c r="G25" s="15">
        <f t="shared" si="0"/>
        <v>0</v>
      </c>
      <c r="H25" s="18" t="e">
        <f t="shared" si="1"/>
        <v>#DIV/0!</v>
      </c>
      <c r="J25" s="35"/>
      <c r="K25" s="35"/>
    </row>
    <row r="26" spans="2:11" x14ac:dyDescent="0.4">
      <c r="B26" s="16">
        <f ca="1">合計!$A26</f>
        <v>45799</v>
      </c>
      <c r="C26" s="17">
        <f>IFERROR(zucks!B26+UZOU!B26+アイモバイル!B26+Cirqua!B26+ADroute!B26+Octopus!B26,0)</f>
        <v>0</v>
      </c>
      <c r="D26" s="17">
        <f>SUM(アイモバイル:mixxAD!C26)</f>
        <v>0</v>
      </c>
      <c r="E26" s="17">
        <f>SUM(アイモバイル:mixxAD!D26)</f>
        <v>0</v>
      </c>
      <c r="F26" s="17">
        <f>IFERROR(zucks!E26+UZOU!E26+アイモバイル!E26+Cirqua!E26+ADroute!E26+Octopus!E26,0)</f>
        <v>0</v>
      </c>
      <c r="G26" s="15">
        <f t="shared" si="0"/>
        <v>0</v>
      </c>
      <c r="H26" s="18" t="e">
        <f t="shared" si="1"/>
        <v>#DIV/0!</v>
      </c>
      <c r="J26" s="35"/>
      <c r="K26" s="35"/>
    </row>
    <row r="27" spans="2:11" x14ac:dyDescent="0.4">
      <c r="B27" s="16">
        <f ca="1">合計!$A27</f>
        <v>45800</v>
      </c>
      <c r="C27" s="17">
        <f>IFERROR(zucks!B27+UZOU!B27+アイモバイル!B27+Cirqua!B27+ADroute!B27+Octopus!B27,0)</f>
        <v>0</v>
      </c>
      <c r="D27" s="17">
        <f>SUM(アイモバイル:mixxAD!C27)</f>
        <v>0</v>
      </c>
      <c r="E27" s="17">
        <f>SUM(アイモバイル:mixxAD!D27)</f>
        <v>0</v>
      </c>
      <c r="F27" s="17">
        <f>IFERROR(zucks!E27+UZOU!E27+アイモバイル!E27+Cirqua!E27+ADroute!E27+Octopus!E27,0)</f>
        <v>0</v>
      </c>
      <c r="G27" s="15">
        <f t="shared" si="0"/>
        <v>0</v>
      </c>
      <c r="H27" s="18" t="e">
        <f t="shared" si="1"/>
        <v>#DIV/0!</v>
      </c>
      <c r="J27" s="35"/>
      <c r="K27" s="35"/>
    </row>
    <row r="28" spans="2:11" x14ac:dyDescent="0.4">
      <c r="B28" s="16">
        <f ca="1">合計!$A28</f>
        <v>45801</v>
      </c>
      <c r="C28" s="17">
        <f>IFERROR(zucks!B28+UZOU!B28+アイモバイル!B28+Cirqua!B28+ADroute!B28+Octopus!B28,0)</f>
        <v>0</v>
      </c>
      <c r="D28" s="17">
        <f>SUM(アイモバイル:mixxAD!C28)</f>
        <v>0</v>
      </c>
      <c r="E28" s="17">
        <f>SUM(アイモバイル:mixxAD!D28)</f>
        <v>0</v>
      </c>
      <c r="F28" s="17">
        <f>IFERROR(zucks!E28+UZOU!E28+アイモバイル!E28+Cirqua!E28+ADroute!E28+Octopus!E28,0)</f>
        <v>0</v>
      </c>
      <c r="G28" s="15">
        <f t="shared" si="0"/>
        <v>0</v>
      </c>
      <c r="H28" s="18" t="e">
        <f t="shared" si="1"/>
        <v>#DIV/0!</v>
      </c>
    </row>
    <row r="29" spans="2:11" x14ac:dyDescent="0.4">
      <c r="B29" s="16">
        <f ca="1">合計!$A29</f>
        <v>45802</v>
      </c>
      <c r="C29" s="17">
        <f>IFERROR(zucks!B29+UZOU!B29+アイモバイル!B29+Cirqua!B29+ADroute!B29+Octopus!B29,0)</f>
        <v>0</v>
      </c>
      <c r="D29" s="17">
        <f>SUM(アイモバイル:mixxAD!C29)</f>
        <v>0</v>
      </c>
      <c r="E29" s="17">
        <f>SUM(アイモバイル:mixxAD!D29)</f>
        <v>0</v>
      </c>
      <c r="F29" s="17">
        <f>IFERROR(zucks!E29+UZOU!E29+アイモバイル!E29+Cirqua!E29+ADroute!E29+Octopus!E29,0)</f>
        <v>0</v>
      </c>
      <c r="G29" s="15">
        <f t="shared" si="0"/>
        <v>0</v>
      </c>
      <c r="H29" s="18" t="e">
        <f t="shared" si="1"/>
        <v>#DIV/0!</v>
      </c>
    </row>
    <row r="30" spans="2:11" x14ac:dyDescent="0.4">
      <c r="B30" s="16">
        <f ca="1">合計!$A30</f>
        <v>45803</v>
      </c>
      <c r="C30" s="17">
        <f>IFERROR(zucks!B30+UZOU!B30+アイモバイル!B30+Cirqua!B30+ADroute!B30+Octopus!B30,0)</f>
        <v>0</v>
      </c>
      <c r="D30" s="17">
        <f>SUM(アイモバイル:mixxAD!C30)</f>
        <v>0</v>
      </c>
      <c r="E30" s="17">
        <f>SUM(アイモバイル:mixxAD!D30)</f>
        <v>0</v>
      </c>
      <c r="F30" s="17">
        <f>IFERROR(zucks!E30+UZOU!E30+アイモバイル!E30+Cirqua!E30+ADroute!E30+Octopus!E30,0)</f>
        <v>0</v>
      </c>
      <c r="G30" s="15">
        <f t="shared" si="0"/>
        <v>0</v>
      </c>
      <c r="H30" s="18" t="e">
        <f t="shared" si="1"/>
        <v>#DIV/0!</v>
      </c>
    </row>
    <row r="31" spans="2:11" x14ac:dyDescent="0.4">
      <c r="B31" s="16">
        <f ca="1">合計!$A31</f>
        <v>45804</v>
      </c>
      <c r="C31" s="17">
        <f>IFERROR(zucks!B31+UZOU!B31+アイモバイル!B31+Cirqua!B31+ADroute!B31+Octopus!B31,0)</f>
        <v>0</v>
      </c>
      <c r="D31" s="17">
        <f>SUM(アイモバイル:mixxAD!C31)</f>
        <v>0</v>
      </c>
      <c r="E31" s="17">
        <f>SUM(アイモバイル:mixxAD!D31)</f>
        <v>0</v>
      </c>
      <c r="F31" s="17">
        <f>IFERROR(zucks!E31+UZOU!E31+アイモバイル!E31+Cirqua!E31+ADroute!E31+Octopus!E31,0)</f>
        <v>0</v>
      </c>
      <c r="G31" s="15">
        <f t="shared" si="0"/>
        <v>0</v>
      </c>
      <c r="H31" s="18" t="e">
        <f t="shared" si="1"/>
        <v>#DIV/0!</v>
      </c>
    </row>
    <row r="32" spans="2:11" x14ac:dyDescent="0.4">
      <c r="B32" s="16">
        <f ca="1">合計!$A32</f>
        <v>45805</v>
      </c>
      <c r="C32" s="17">
        <f>IFERROR(zucks!B32+UZOU!B32+アイモバイル!B32+Cirqua!B32+ADroute!B32+Octopus!B32,0)</f>
        <v>0</v>
      </c>
      <c r="D32" s="17">
        <f>SUM(アイモバイル:mixxAD!C32)</f>
        <v>0</v>
      </c>
      <c r="E32" s="17">
        <f>SUM(アイモバイル:mixxAD!D32)</f>
        <v>0</v>
      </c>
      <c r="F32" s="17">
        <f>IFERROR(zucks!E32+UZOU!E32+アイモバイル!E32+Cirqua!E32+ADroute!E32+Octopus!E32,0)</f>
        <v>0</v>
      </c>
      <c r="G32" s="15">
        <f t="shared" si="0"/>
        <v>0</v>
      </c>
      <c r="H32" s="18" t="e">
        <f t="shared" si="1"/>
        <v>#DIV/0!</v>
      </c>
    </row>
    <row r="33" spans="2:8" x14ac:dyDescent="0.4">
      <c r="B33" s="16">
        <f ca="1">合計!$A33</f>
        <v>45806</v>
      </c>
      <c r="C33" s="17">
        <f>IFERROR(zucks!B33+UZOU!B33+アイモバイル!B33+Cirqua!B33+ADroute!B33+Octopus!B33,0)</f>
        <v>0</v>
      </c>
      <c r="D33" s="17">
        <f>SUM(アイモバイル:mixxAD!C33)</f>
        <v>0</v>
      </c>
      <c r="E33" s="17">
        <f>SUM(アイモバイル:mixxAD!D33)</f>
        <v>0</v>
      </c>
      <c r="F33" s="17">
        <f>IFERROR(zucks!E33+UZOU!E33+アイモバイル!E33+Cirqua!E33+ADroute!E33+Octopus!E33,0)</f>
        <v>0</v>
      </c>
      <c r="G33" s="15">
        <f t="shared" si="0"/>
        <v>0</v>
      </c>
      <c r="H33" s="18" t="e">
        <f t="shared" si="1"/>
        <v>#DIV/0!</v>
      </c>
    </row>
    <row r="34" spans="2:8" x14ac:dyDescent="0.4">
      <c r="B34" s="16">
        <f ca="1">合計!$A34</f>
        <v>45807</v>
      </c>
      <c r="C34" s="17">
        <f>IFERROR(zucks!B34+UZOU!B34+アイモバイル!B34+Cirqua!B34+ADroute!B34+Octopus!B34,0)</f>
        <v>0</v>
      </c>
      <c r="D34" s="17">
        <f>SUM(アイモバイル:mixxAD!C34)</f>
        <v>0</v>
      </c>
      <c r="E34" s="17">
        <f>SUM(アイモバイル:mixxAD!D34)</f>
        <v>0</v>
      </c>
      <c r="F34" s="17">
        <f>IFERROR(zucks!E34+UZOU!E34+アイモバイル!E34+Cirqua!E34+ADroute!E34+Octopus!E34,0)</f>
        <v>0</v>
      </c>
      <c r="G34" s="15">
        <f t="shared" si="0"/>
        <v>0</v>
      </c>
      <c r="H34" s="18" t="e">
        <f t="shared" si="1"/>
        <v>#DIV/0!</v>
      </c>
    </row>
    <row r="35" spans="2:8" x14ac:dyDescent="0.4">
      <c r="B35" s="16">
        <f ca="1">合計!$A35</f>
        <v>45808</v>
      </c>
      <c r="C35" s="17">
        <f>IFERROR(zucks!B35+UZOU!B35+アイモバイル!B35+Cirqua!B35+ADroute!B35+Octopus!B35,0)</f>
        <v>0</v>
      </c>
      <c r="D35" s="17">
        <f>SUM(アイモバイル:mixxAD!C35)</f>
        <v>0</v>
      </c>
      <c r="E35" s="17">
        <f>SUM(アイモバイル:mixxAD!D35)</f>
        <v>0</v>
      </c>
      <c r="F35" s="17">
        <f>IFERROR(zucks!E35+UZOU!E35+アイモバイル!E35+Cirqua!E35+ADroute!E35+Octopus!E35,0)</f>
        <v>0</v>
      </c>
      <c r="G35" s="15">
        <f t="shared" si="0"/>
        <v>0</v>
      </c>
      <c r="H35" s="18" t="e">
        <f t="shared" si="1"/>
        <v>#DIV/0!</v>
      </c>
    </row>
    <row r="36" spans="2:8" x14ac:dyDescent="0.4">
      <c r="B36" s="21" t="s">
        <v>24</v>
      </c>
      <c r="C36" s="37">
        <f>SUM(C5:C35)</f>
        <v>0</v>
      </c>
      <c r="D36" s="17">
        <f>SUM(D5:D35)</f>
        <v>0</v>
      </c>
      <c r="E36" s="17">
        <f>SUM(E5:E35)</f>
        <v>0</v>
      </c>
      <c r="F36" s="17">
        <f>SUM(F5:F35)</f>
        <v>0</v>
      </c>
      <c r="G36" s="15">
        <f t="shared" si="0"/>
        <v>0</v>
      </c>
      <c r="H36" s="18" t="e">
        <f t="shared" si="1"/>
        <v>#DIV/0!</v>
      </c>
    </row>
  </sheetData>
  <mergeCells count="1">
    <mergeCell ref="C2:F3"/>
  </mergeCells>
  <phoneticPr fontId="3"/>
  <conditionalFormatting sqref="B5:B35">
    <cfRule type="expression" dxfId="25" priority="1">
      <formula>WEEKDAY(B5)=7</formula>
    </cfRule>
    <cfRule type="expression" dxfId="24" priority="2">
      <formula>WEEKDAY(B5)=1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K705"/>
  <sheetViews>
    <sheetView workbookViewId="0">
      <selection activeCell="I25" sqref="I25"/>
    </sheetView>
  </sheetViews>
  <sheetFormatPr defaultRowHeight="18.75" x14ac:dyDescent="0.4"/>
  <cols>
    <col min="2" max="2" width="10.5" bestFit="1" customWidth="1"/>
  </cols>
  <sheetData>
    <row r="1" spans="1:11" x14ac:dyDescent="0.4">
      <c r="A1">
        <v>8</v>
      </c>
    </row>
    <row r="2" spans="1:11" x14ac:dyDescent="0.4">
      <c r="A2" s="2"/>
      <c r="B2" s="120" t="s">
        <v>36</v>
      </c>
      <c r="C2" s="121"/>
      <c r="D2" s="121"/>
      <c r="E2" s="121"/>
      <c r="F2" s="121"/>
      <c r="G2" s="122"/>
    </row>
    <row r="3" spans="1:11" x14ac:dyDescent="0.4">
      <c r="A3" s="2"/>
      <c r="B3" s="123"/>
      <c r="C3" s="124"/>
      <c r="D3" s="124"/>
      <c r="E3" s="124"/>
      <c r="F3" s="124"/>
      <c r="G3" s="125"/>
      <c r="J3" t="s">
        <v>25</v>
      </c>
    </row>
    <row r="4" spans="1:11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11" x14ac:dyDescent="0.4">
      <c r="A5" s="16">
        <f ca="1">合計!$A5</f>
        <v>45778</v>
      </c>
      <c r="B5" s="17" t="str">
        <f t="shared" ref="B5:B35" si="0">IF(K5="","",K5)</f>
        <v/>
      </c>
      <c r="C5" s="17">
        <f>IFERROR(B5*90.91%,0)</f>
        <v>0</v>
      </c>
      <c r="D5" s="17">
        <f>IFERROR(E5*90.91%,0)</f>
        <v>0</v>
      </c>
      <c r="E5" s="17" t="str">
        <f t="shared" ref="E5:E35" si="1">IF(J5="","",J5)</f>
        <v/>
      </c>
      <c r="F5" s="15">
        <f>D5-C5</f>
        <v>0</v>
      </c>
      <c r="G5" s="18" t="e">
        <f t="shared" ref="G5:G35" si="2">D5/C5</f>
        <v>#DIV/0!</v>
      </c>
      <c r="I5" s="29">
        <f ca="1">A5</f>
        <v>45778</v>
      </c>
      <c r="J5" s="30"/>
      <c r="K5" s="30"/>
    </row>
    <row r="6" spans="1:11" x14ac:dyDescent="0.4">
      <c r="A6" s="16">
        <f ca="1">合計!$A6</f>
        <v>45779</v>
      </c>
      <c r="B6" s="17" t="str">
        <f t="shared" si="0"/>
        <v/>
      </c>
      <c r="C6" s="17">
        <f t="shared" ref="C6:C35" si="3">IFERROR(B6*90.91%,0)</f>
        <v>0</v>
      </c>
      <c r="D6" s="17">
        <f t="shared" ref="D6:D35" si="4">IFERROR(E6*90.91%,0)</f>
        <v>0</v>
      </c>
      <c r="E6" s="17" t="str">
        <f t="shared" si="1"/>
        <v/>
      </c>
      <c r="F6" s="15">
        <f t="shared" ref="F6:F35" si="5">D6-C6</f>
        <v>0</v>
      </c>
      <c r="G6" s="18" t="e">
        <f t="shared" si="2"/>
        <v>#DIV/0!</v>
      </c>
      <c r="I6" s="29">
        <f t="shared" ref="I6:I35" ca="1" si="6">A6</f>
        <v>45779</v>
      </c>
      <c r="J6" s="30"/>
      <c r="K6" s="30"/>
    </row>
    <row r="7" spans="1:11" x14ac:dyDescent="0.4">
      <c r="A7" s="16">
        <f ca="1">合計!$A7</f>
        <v>45780</v>
      </c>
      <c r="B7" s="17" t="str">
        <f t="shared" si="0"/>
        <v/>
      </c>
      <c r="C7" s="17">
        <f t="shared" si="3"/>
        <v>0</v>
      </c>
      <c r="D7" s="17">
        <f t="shared" si="4"/>
        <v>0</v>
      </c>
      <c r="E7" s="17" t="str">
        <f t="shared" si="1"/>
        <v/>
      </c>
      <c r="F7" s="15">
        <f t="shared" si="5"/>
        <v>0</v>
      </c>
      <c r="G7" s="18" t="e">
        <f t="shared" si="2"/>
        <v>#DIV/0!</v>
      </c>
      <c r="I7" s="29">
        <f t="shared" ca="1" si="6"/>
        <v>45780</v>
      </c>
      <c r="J7" s="30"/>
      <c r="K7" s="30"/>
    </row>
    <row r="8" spans="1:11" x14ac:dyDescent="0.4">
      <c r="A8" s="16">
        <f ca="1">合計!$A8</f>
        <v>45781</v>
      </c>
      <c r="B8" s="17" t="str">
        <f t="shared" si="0"/>
        <v/>
      </c>
      <c r="C8" s="17">
        <f t="shared" si="3"/>
        <v>0</v>
      </c>
      <c r="D8" s="17">
        <f t="shared" si="4"/>
        <v>0</v>
      </c>
      <c r="E8" s="17" t="str">
        <f t="shared" si="1"/>
        <v/>
      </c>
      <c r="F8" s="15">
        <f t="shared" si="5"/>
        <v>0</v>
      </c>
      <c r="G8" s="18" t="e">
        <f t="shared" si="2"/>
        <v>#DIV/0!</v>
      </c>
      <c r="I8" s="29">
        <f t="shared" ca="1" si="6"/>
        <v>45781</v>
      </c>
      <c r="J8" s="30"/>
      <c r="K8" s="30"/>
    </row>
    <row r="9" spans="1:11" x14ac:dyDescent="0.4">
      <c r="A9" s="16">
        <f ca="1">合計!$A9</f>
        <v>45782</v>
      </c>
      <c r="B9" s="17" t="str">
        <f t="shared" si="0"/>
        <v/>
      </c>
      <c r="C9" s="17">
        <f t="shared" si="3"/>
        <v>0</v>
      </c>
      <c r="D9" s="17">
        <f t="shared" si="4"/>
        <v>0</v>
      </c>
      <c r="E9" s="17" t="str">
        <f t="shared" si="1"/>
        <v/>
      </c>
      <c r="F9" s="15">
        <f t="shared" si="5"/>
        <v>0</v>
      </c>
      <c r="G9" s="18" t="e">
        <f t="shared" si="2"/>
        <v>#DIV/0!</v>
      </c>
      <c r="I9" s="29">
        <f t="shared" ca="1" si="6"/>
        <v>45782</v>
      </c>
      <c r="J9" s="30"/>
      <c r="K9" s="30"/>
    </row>
    <row r="10" spans="1:11" x14ac:dyDescent="0.4">
      <c r="A10" s="16">
        <f ca="1">合計!$A10</f>
        <v>45783</v>
      </c>
      <c r="B10" s="17" t="str">
        <f t="shared" si="0"/>
        <v/>
      </c>
      <c r="C10" s="17">
        <f t="shared" si="3"/>
        <v>0</v>
      </c>
      <c r="D10" s="17">
        <f t="shared" si="4"/>
        <v>0</v>
      </c>
      <c r="E10" s="17" t="str">
        <f t="shared" si="1"/>
        <v/>
      </c>
      <c r="F10" s="15">
        <f t="shared" si="5"/>
        <v>0</v>
      </c>
      <c r="G10" s="18" t="e">
        <f t="shared" si="2"/>
        <v>#DIV/0!</v>
      </c>
      <c r="I10" s="29">
        <f t="shared" ca="1" si="6"/>
        <v>45783</v>
      </c>
      <c r="J10" s="30"/>
      <c r="K10" s="30"/>
    </row>
    <row r="11" spans="1:11" x14ac:dyDescent="0.4">
      <c r="A11" s="16">
        <f ca="1">合計!$A11</f>
        <v>45784</v>
      </c>
      <c r="B11" s="17" t="str">
        <f t="shared" si="0"/>
        <v/>
      </c>
      <c r="C11" s="17">
        <f t="shared" si="3"/>
        <v>0</v>
      </c>
      <c r="D11" s="17">
        <f t="shared" si="4"/>
        <v>0</v>
      </c>
      <c r="E11" s="17" t="str">
        <f t="shared" si="1"/>
        <v/>
      </c>
      <c r="F11" s="15">
        <f t="shared" si="5"/>
        <v>0</v>
      </c>
      <c r="G11" s="18" t="e">
        <f t="shared" si="2"/>
        <v>#DIV/0!</v>
      </c>
      <c r="I11" s="29">
        <f t="shared" ca="1" si="6"/>
        <v>45784</v>
      </c>
      <c r="J11" s="30"/>
      <c r="K11" s="30"/>
    </row>
    <row r="12" spans="1:11" x14ac:dyDescent="0.4">
      <c r="A12" s="16">
        <f ca="1">合計!$A12</f>
        <v>45785</v>
      </c>
      <c r="B12" s="17" t="str">
        <f t="shared" si="0"/>
        <v/>
      </c>
      <c r="C12" s="17">
        <f t="shared" si="3"/>
        <v>0</v>
      </c>
      <c r="D12" s="17">
        <f t="shared" si="4"/>
        <v>0</v>
      </c>
      <c r="E12" s="17" t="str">
        <f t="shared" si="1"/>
        <v/>
      </c>
      <c r="F12" s="15">
        <f t="shared" si="5"/>
        <v>0</v>
      </c>
      <c r="G12" s="18" t="e">
        <f t="shared" si="2"/>
        <v>#DIV/0!</v>
      </c>
      <c r="I12" s="29">
        <f t="shared" ca="1" si="6"/>
        <v>45785</v>
      </c>
      <c r="J12" s="30"/>
      <c r="K12" s="30"/>
    </row>
    <row r="13" spans="1:11" x14ac:dyDescent="0.4">
      <c r="A13" s="16">
        <f ca="1">合計!$A13</f>
        <v>45786</v>
      </c>
      <c r="B13" s="17" t="str">
        <f t="shared" si="0"/>
        <v/>
      </c>
      <c r="C13" s="17">
        <f t="shared" si="3"/>
        <v>0</v>
      </c>
      <c r="D13" s="17">
        <f t="shared" si="4"/>
        <v>0</v>
      </c>
      <c r="E13" s="17" t="str">
        <f t="shared" si="1"/>
        <v/>
      </c>
      <c r="F13" s="15">
        <f t="shared" si="5"/>
        <v>0</v>
      </c>
      <c r="G13" s="18" t="e">
        <f t="shared" si="2"/>
        <v>#DIV/0!</v>
      </c>
      <c r="I13" s="29">
        <f t="shared" ca="1" si="6"/>
        <v>45786</v>
      </c>
      <c r="J13" s="30"/>
      <c r="K13" s="30"/>
    </row>
    <row r="14" spans="1:11" x14ac:dyDescent="0.4">
      <c r="A14" s="16">
        <f ca="1">合計!$A14</f>
        <v>45787</v>
      </c>
      <c r="B14" s="17" t="str">
        <f t="shared" si="0"/>
        <v/>
      </c>
      <c r="C14" s="17">
        <f t="shared" si="3"/>
        <v>0</v>
      </c>
      <c r="D14" s="17">
        <f t="shared" si="4"/>
        <v>0</v>
      </c>
      <c r="E14" s="17" t="str">
        <f t="shared" si="1"/>
        <v/>
      </c>
      <c r="F14" s="15">
        <f t="shared" si="5"/>
        <v>0</v>
      </c>
      <c r="G14" s="18" t="e">
        <f t="shared" si="2"/>
        <v>#DIV/0!</v>
      </c>
      <c r="I14" s="29">
        <f t="shared" ca="1" si="6"/>
        <v>45787</v>
      </c>
      <c r="J14" s="30"/>
      <c r="K14" s="30"/>
    </row>
    <row r="15" spans="1:11" x14ac:dyDescent="0.4">
      <c r="A15" s="16">
        <f ca="1">合計!$A15</f>
        <v>45788</v>
      </c>
      <c r="B15" s="17" t="str">
        <f t="shared" si="0"/>
        <v/>
      </c>
      <c r="C15" s="17">
        <f t="shared" si="3"/>
        <v>0</v>
      </c>
      <c r="D15" s="17">
        <f t="shared" si="4"/>
        <v>0</v>
      </c>
      <c r="E15" s="17" t="str">
        <f t="shared" si="1"/>
        <v/>
      </c>
      <c r="F15" s="15">
        <f t="shared" si="5"/>
        <v>0</v>
      </c>
      <c r="G15" s="18" t="e">
        <f t="shared" si="2"/>
        <v>#DIV/0!</v>
      </c>
      <c r="I15" s="29">
        <f t="shared" ca="1" si="6"/>
        <v>45788</v>
      </c>
      <c r="J15" s="30"/>
      <c r="K15" s="30"/>
    </row>
    <row r="16" spans="1:11" x14ac:dyDescent="0.4">
      <c r="A16" s="16">
        <f ca="1">合計!$A16</f>
        <v>45789</v>
      </c>
      <c r="B16" s="17" t="str">
        <f t="shared" si="0"/>
        <v/>
      </c>
      <c r="C16" s="17">
        <f t="shared" si="3"/>
        <v>0</v>
      </c>
      <c r="D16" s="17">
        <f t="shared" si="4"/>
        <v>0</v>
      </c>
      <c r="E16" s="17" t="str">
        <f t="shared" si="1"/>
        <v/>
      </c>
      <c r="F16" s="15">
        <f t="shared" si="5"/>
        <v>0</v>
      </c>
      <c r="G16" s="18" t="e">
        <f t="shared" si="2"/>
        <v>#DIV/0!</v>
      </c>
      <c r="I16" s="29">
        <f t="shared" ca="1" si="6"/>
        <v>45789</v>
      </c>
      <c r="J16" s="30"/>
      <c r="K16" s="30"/>
    </row>
    <row r="17" spans="1:11" x14ac:dyDescent="0.4">
      <c r="A17" s="16">
        <f ca="1">合計!$A17</f>
        <v>45790</v>
      </c>
      <c r="B17" s="17" t="str">
        <f t="shared" si="0"/>
        <v/>
      </c>
      <c r="C17" s="17">
        <f t="shared" si="3"/>
        <v>0</v>
      </c>
      <c r="D17" s="17">
        <f t="shared" si="4"/>
        <v>0</v>
      </c>
      <c r="E17" s="17" t="str">
        <f t="shared" si="1"/>
        <v/>
      </c>
      <c r="F17" s="15">
        <f t="shared" si="5"/>
        <v>0</v>
      </c>
      <c r="G17" s="18" t="e">
        <f t="shared" si="2"/>
        <v>#DIV/0!</v>
      </c>
      <c r="I17" s="29">
        <f t="shared" ca="1" si="6"/>
        <v>45790</v>
      </c>
      <c r="J17" s="30"/>
      <c r="K17" s="30"/>
    </row>
    <row r="18" spans="1:11" x14ac:dyDescent="0.4">
      <c r="A18" s="16">
        <f ca="1">合計!$A18</f>
        <v>45791</v>
      </c>
      <c r="B18" s="17" t="str">
        <f t="shared" si="0"/>
        <v/>
      </c>
      <c r="C18" s="17">
        <f t="shared" si="3"/>
        <v>0</v>
      </c>
      <c r="D18" s="17">
        <f t="shared" si="4"/>
        <v>0</v>
      </c>
      <c r="E18" s="17" t="str">
        <f t="shared" si="1"/>
        <v/>
      </c>
      <c r="F18" s="15">
        <f t="shared" si="5"/>
        <v>0</v>
      </c>
      <c r="G18" s="18" t="e">
        <f t="shared" si="2"/>
        <v>#DIV/0!</v>
      </c>
      <c r="I18" s="29">
        <f t="shared" ca="1" si="6"/>
        <v>45791</v>
      </c>
      <c r="J18" s="30"/>
      <c r="K18" s="30"/>
    </row>
    <row r="19" spans="1:11" x14ac:dyDescent="0.4">
      <c r="A19" s="16">
        <f ca="1">合計!$A19</f>
        <v>45792</v>
      </c>
      <c r="B19" s="17" t="str">
        <f t="shared" si="0"/>
        <v/>
      </c>
      <c r="C19" s="17">
        <f t="shared" si="3"/>
        <v>0</v>
      </c>
      <c r="D19" s="17">
        <f t="shared" si="4"/>
        <v>0</v>
      </c>
      <c r="E19" s="17" t="str">
        <f t="shared" si="1"/>
        <v/>
      </c>
      <c r="F19" s="15">
        <f t="shared" si="5"/>
        <v>0</v>
      </c>
      <c r="G19" s="18" t="e">
        <f t="shared" si="2"/>
        <v>#DIV/0!</v>
      </c>
      <c r="I19" s="29">
        <f t="shared" ca="1" si="6"/>
        <v>45792</v>
      </c>
      <c r="J19" s="30"/>
      <c r="K19" s="30"/>
    </row>
    <row r="20" spans="1:11" x14ac:dyDescent="0.4">
      <c r="A20" s="16">
        <f ca="1">合計!$A20</f>
        <v>45793</v>
      </c>
      <c r="B20" s="17" t="str">
        <f t="shared" si="0"/>
        <v/>
      </c>
      <c r="C20" s="17">
        <f t="shared" si="3"/>
        <v>0</v>
      </c>
      <c r="D20" s="17">
        <f t="shared" si="4"/>
        <v>0</v>
      </c>
      <c r="E20" s="17" t="str">
        <f t="shared" si="1"/>
        <v/>
      </c>
      <c r="F20" s="15">
        <f t="shared" si="5"/>
        <v>0</v>
      </c>
      <c r="G20" s="18" t="e">
        <f t="shared" si="2"/>
        <v>#DIV/0!</v>
      </c>
      <c r="I20" s="29">
        <f t="shared" ca="1" si="6"/>
        <v>45793</v>
      </c>
      <c r="J20" s="30"/>
      <c r="K20" s="30"/>
    </row>
    <row r="21" spans="1:11" x14ac:dyDescent="0.4">
      <c r="A21" s="16">
        <f ca="1">合計!$A21</f>
        <v>45794</v>
      </c>
      <c r="B21" s="17" t="str">
        <f t="shared" si="0"/>
        <v/>
      </c>
      <c r="C21" s="17">
        <f t="shared" si="3"/>
        <v>0</v>
      </c>
      <c r="D21" s="17">
        <f t="shared" si="4"/>
        <v>0</v>
      </c>
      <c r="E21" s="17" t="str">
        <f t="shared" si="1"/>
        <v/>
      </c>
      <c r="F21" s="15">
        <f t="shared" si="5"/>
        <v>0</v>
      </c>
      <c r="G21" s="18" t="e">
        <f t="shared" si="2"/>
        <v>#DIV/0!</v>
      </c>
      <c r="I21" s="29">
        <f t="shared" ca="1" si="6"/>
        <v>45794</v>
      </c>
      <c r="J21" s="30"/>
      <c r="K21" s="30"/>
    </row>
    <row r="22" spans="1:11" x14ac:dyDescent="0.4">
      <c r="A22" s="16">
        <f ca="1">合計!$A22</f>
        <v>45795</v>
      </c>
      <c r="B22" s="17" t="str">
        <f t="shared" si="0"/>
        <v/>
      </c>
      <c r="C22" s="17">
        <f t="shared" si="3"/>
        <v>0</v>
      </c>
      <c r="D22" s="17">
        <f t="shared" si="4"/>
        <v>0</v>
      </c>
      <c r="E22" s="17" t="str">
        <f t="shared" si="1"/>
        <v/>
      </c>
      <c r="F22" s="15">
        <f t="shared" si="5"/>
        <v>0</v>
      </c>
      <c r="G22" s="18" t="e">
        <f t="shared" si="2"/>
        <v>#DIV/0!</v>
      </c>
      <c r="I22" s="29">
        <f t="shared" ca="1" si="6"/>
        <v>45795</v>
      </c>
      <c r="J22" s="30"/>
      <c r="K22" s="30"/>
    </row>
    <row r="23" spans="1:11" x14ac:dyDescent="0.4">
      <c r="A23" s="16">
        <f ca="1">合計!$A23</f>
        <v>45796</v>
      </c>
      <c r="B23" s="17" t="str">
        <f t="shared" si="0"/>
        <v/>
      </c>
      <c r="C23" s="17">
        <f t="shared" si="3"/>
        <v>0</v>
      </c>
      <c r="D23" s="17">
        <f t="shared" si="4"/>
        <v>0</v>
      </c>
      <c r="E23" s="17" t="str">
        <f t="shared" si="1"/>
        <v/>
      </c>
      <c r="F23" s="15">
        <f t="shared" si="5"/>
        <v>0</v>
      </c>
      <c r="G23" s="18" t="e">
        <f t="shared" si="2"/>
        <v>#DIV/0!</v>
      </c>
      <c r="I23" s="29">
        <f t="shared" ca="1" si="6"/>
        <v>45796</v>
      </c>
      <c r="J23" s="30"/>
      <c r="K23" s="30"/>
    </row>
    <row r="24" spans="1:11" x14ac:dyDescent="0.4">
      <c r="A24" s="16">
        <f ca="1">合計!$A24</f>
        <v>45797</v>
      </c>
      <c r="B24" s="17" t="str">
        <f t="shared" si="0"/>
        <v/>
      </c>
      <c r="C24" s="17">
        <f t="shared" si="3"/>
        <v>0</v>
      </c>
      <c r="D24" s="17">
        <f t="shared" si="4"/>
        <v>0</v>
      </c>
      <c r="E24" s="17" t="str">
        <f t="shared" si="1"/>
        <v/>
      </c>
      <c r="F24" s="15">
        <f t="shared" si="5"/>
        <v>0</v>
      </c>
      <c r="G24" s="18" t="e">
        <f t="shared" si="2"/>
        <v>#DIV/0!</v>
      </c>
      <c r="I24" s="29">
        <f t="shared" ca="1" si="6"/>
        <v>45797</v>
      </c>
      <c r="J24" s="30"/>
      <c r="K24" s="30"/>
    </row>
    <row r="25" spans="1:11" x14ac:dyDescent="0.4">
      <c r="A25" s="16">
        <f ca="1">合計!$A25</f>
        <v>45798</v>
      </c>
      <c r="B25" s="17" t="str">
        <f t="shared" si="0"/>
        <v/>
      </c>
      <c r="C25" s="17">
        <f t="shared" si="3"/>
        <v>0</v>
      </c>
      <c r="D25" s="17">
        <f t="shared" si="4"/>
        <v>0</v>
      </c>
      <c r="E25" s="17" t="str">
        <f t="shared" si="1"/>
        <v/>
      </c>
      <c r="F25" s="15">
        <f t="shared" si="5"/>
        <v>0</v>
      </c>
      <c r="G25" s="18" t="e">
        <f t="shared" si="2"/>
        <v>#DIV/0!</v>
      </c>
      <c r="I25" s="29">
        <f t="shared" ca="1" si="6"/>
        <v>45798</v>
      </c>
      <c r="J25" s="30"/>
      <c r="K25" s="30"/>
    </row>
    <row r="26" spans="1:11" x14ac:dyDescent="0.4">
      <c r="A26" s="16">
        <f ca="1">合計!$A26</f>
        <v>45799</v>
      </c>
      <c r="B26" s="17" t="str">
        <f t="shared" si="0"/>
        <v/>
      </c>
      <c r="C26" s="17">
        <f t="shared" si="3"/>
        <v>0</v>
      </c>
      <c r="D26" s="17">
        <f t="shared" si="4"/>
        <v>0</v>
      </c>
      <c r="E26" s="17" t="str">
        <f t="shared" si="1"/>
        <v/>
      </c>
      <c r="F26" s="15">
        <f t="shared" si="5"/>
        <v>0</v>
      </c>
      <c r="G26" s="18" t="e">
        <f t="shared" si="2"/>
        <v>#DIV/0!</v>
      </c>
      <c r="I26" s="29">
        <f t="shared" ca="1" si="6"/>
        <v>45799</v>
      </c>
      <c r="J26" s="30"/>
      <c r="K26" s="30"/>
    </row>
    <row r="27" spans="1:11" x14ac:dyDescent="0.4">
      <c r="A27" s="16">
        <f ca="1">合計!$A27</f>
        <v>45800</v>
      </c>
      <c r="B27" s="17" t="str">
        <f t="shared" si="0"/>
        <v/>
      </c>
      <c r="C27" s="17">
        <f t="shared" si="3"/>
        <v>0</v>
      </c>
      <c r="D27" s="17">
        <f t="shared" si="4"/>
        <v>0</v>
      </c>
      <c r="E27" s="17" t="str">
        <f t="shared" si="1"/>
        <v/>
      </c>
      <c r="F27" s="15">
        <f t="shared" si="5"/>
        <v>0</v>
      </c>
      <c r="G27" s="18" t="e">
        <f t="shared" si="2"/>
        <v>#DIV/0!</v>
      </c>
      <c r="I27" s="29">
        <f t="shared" ca="1" si="6"/>
        <v>45800</v>
      </c>
      <c r="J27" s="30"/>
      <c r="K27" s="30"/>
    </row>
    <row r="28" spans="1:11" x14ac:dyDescent="0.4">
      <c r="A28" s="16">
        <f ca="1">合計!$A28</f>
        <v>45801</v>
      </c>
      <c r="B28" s="17" t="str">
        <f t="shared" si="0"/>
        <v/>
      </c>
      <c r="C28" s="17">
        <f t="shared" si="3"/>
        <v>0</v>
      </c>
      <c r="D28" s="17">
        <f t="shared" si="4"/>
        <v>0</v>
      </c>
      <c r="E28" s="17" t="str">
        <f t="shared" si="1"/>
        <v/>
      </c>
      <c r="F28" s="15">
        <f t="shared" si="5"/>
        <v>0</v>
      </c>
      <c r="G28" s="18" t="e">
        <f t="shared" si="2"/>
        <v>#DIV/0!</v>
      </c>
      <c r="I28" s="29">
        <f t="shared" ca="1" si="6"/>
        <v>45801</v>
      </c>
      <c r="J28" s="30"/>
      <c r="K28" s="30"/>
    </row>
    <row r="29" spans="1:11" x14ac:dyDescent="0.4">
      <c r="A29" s="16">
        <f ca="1">合計!$A29</f>
        <v>45802</v>
      </c>
      <c r="B29" s="17" t="str">
        <f t="shared" si="0"/>
        <v/>
      </c>
      <c r="C29" s="17">
        <f t="shared" si="3"/>
        <v>0</v>
      </c>
      <c r="D29" s="17">
        <f t="shared" si="4"/>
        <v>0</v>
      </c>
      <c r="E29" s="17" t="str">
        <f t="shared" si="1"/>
        <v/>
      </c>
      <c r="F29" s="15">
        <f t="shared" si="5"/>
        <v>0</v>
      </c>
      <c r="G29" s="18" t="e">
        <f t="shared" si="2"/>
        <v>#DIV/0!</v>
      </c>
      <c r="I29" s="29">
        <f t="shared" ca="1" si="6"/>
        <v>45802</v>
      </c>
      <c r="J29" s="30"/>
      <c r="K29" s="30"/>
    </row>
    <row r="30" spans="1:11" x14ac:dyDescent="0.4">
      <c r="A30" s="16">
        <f ca="1">合計!$A30</f>
        <v>45803</v>
      </c>
      <c r="B30" s="17" t="str">
        <f t="shared" si="0"/>
        <v/>
      </c>
      <c r="C30" s="17">
        <f t="shared" si="3"/>
        <v>0</v>
      </c>
      <c r="D30" s="17">
        <f t="shared" si="4"/>
        <v>0</v>
      </c>
      <c r="E30" s="17" t="str">
        <f t="shared" si="1"/>
        <v/>
      </c>
      <c r="F30" s="15">
        <f t="shared" si="5"/>
        <v>0</v>
      </c>
      <c r="G30" s="18" t="e">
        <f t="shared" si="2"/>
        <v>#DIV/0!</v>
      </c>
      <c r="I30" s="29">
        <f t="shared" ca="1" si="6"/>
        <v>45803</v>
      </c>
      <c r="J30" s="30"/>
      <c r="K30" s="30"/>
    </row>
    <row r="31" spans="1:11" x14ac:dyDescent="0.4">
      <c r="A31" s="16">
        <f ca="1">合計!$A31</f>
        <v>45804</v>
      </c>
      <c r="B31" s="17" t="str">
        <f t="shared" si="0"/>
        <v/>
      </c>
      <c r="C31" s="17">
        <f t="shared" si="3"/>
        <v>0</v>
      </c>
      <c r="D31" s="17">
        <f t="shared" si="4"/>
        <v>0</v>
      </c>
      <c r="E31" s="17" t="str">
        <f t="shared" si="1"/>
        <v/>
      </c>
      <c r="F31" s="15">
        <f t="shared" si="5"/>
        <v>0</v>
      </c>
      <c r="G31" s="18" t="e">
        <f t="shared" si="2"/>
        <v>#DIV/0!</v>
      </c>
      <c r="I31" s="29">
        <f t="shared" ca="1" si="6"/>
        <v>45804</v>
      </c>
      <c r="J31" s="30"/>
      <c r="K31" s="30"/>
    </row>
    <row r="32" spans="1:11" x14ac:dyDescent="0.4">
      <c r="A32" s="16">
        <f ca="1">合計!$A32</f>
        <v>45805</v>
      </c>
      <c r="B32" s="17" t="str">
        <f t="shared" si="0"/>
        <v/>
      </c>
      <c r="C32" s="17">
        <f t="shared" si="3"/>
        <v>0</v>
      </c>
      <c r="D32" s="17">
        <f t="shared" si="4"/>
        <v>0</v>
      </c>
      <c r="E32" s="17" t="str">
        <f t="shared" si="1"/>
        <v/>
      </c>
      <c r="F32" s="15">
        <f t="shared" si="5"/>
        <v>0</v>
      </c>
      <c r="G32" s="18" t="e">
        <f t="shared" si="2"/>
        <v>#DIV/0!</v>
      </c>
      <c r="I32" s="29">
        <f t="shared" ca="1" si="6"/>
        <v>45805</v>
      </c>
      <c r="J32" s="30"/>
      <c r="K32" s="30"/>
    </row>
    <row r="33" spans="1:11" x14ac:dyDescent="0.4">
      <c r="A33" s="16">
        <f ca="1">合計!$A33</f>
        <v>45806</v>
      </c>
      <c r="B33" s="17" t="str">
        <f t="shared" si="0"/>
        <v/>
      </c>
      <c r="C33" s="17">
        <f t="shared" si="3"/>
        <v>0</v>
      </c>
      <c r="D33" s="17">
        <f t="shared" si="4"/>
        <v>0</v>
      </c>
      <c r="E33" s="17" t="str">
        <f t="shared" si="1"/>
        <v/>
      </c>
      <c r="F33" s="15">
        <f t="shared" si="5"/>
        <v>0</v>
      </c>
      <c r="G33" s="18" t="e">
        <f t="shared" si="2"/>
        <v>#DIV/0!</v>
      </c>
      <c r="I33" s="29">
        <f t="shared" ca="1" si="6"/>
        <v>45806</v>
      </c>
      <c r="J33" s="30"/>
      <c r="K33" s="30"/>
    </row>
    <row r="34" spans="1:11" x14ac:dyDescent="0.4">
      <c r="A34" s="16">
        <f ca="1">合計!$A34</f>
        <v>45807</v>
      </c>
      <c r="B34" s="17" t="str">
        <f t="shared" si="0"/>
        <v/>
      </c>
      <c r="C34" s="17">
        <f t="shared" si="3"/>
        <v>0</v>
      </c>
      <c r="D34" s="17">
        <f t="shared" si="4"/>
        <v>0</v>
      </c>
      <c r="E34" s="17" t="str">
        <f t="shared" si="1"/>
        <v/>
      </c>
      <c r="F34" s="15">
        <f t="shared" si="5"/>
        <v>0</v>
      </c>
      <c r="G34" s="18" t="e">
        <f t="shared" si="2"/>
        <v>#DIV/0!</v>
      </c>
      <c r="I34" s="29">
        <f t="shared" ca="1" si="6"/>
        <v>45807</v>
      </c>
      <c r="J34" s="30"/>
      <c r="K34" s="30"/>
    </row>
    <row r="35" spans="1:11" x14ac:dyDescent="0.4">
      <c r="A35" s="16">
        <f ca="1">合計!$A35</f>
        <v>45808</v>
      </c>
      <c r="B35" s="17" t="str">
        <f t="shared" si="0"/>
        <v/>
      </c>
      <c r="C35" s="17">
        <f t="shared" si="3"/>
        <v>0</v>
      </c>
      <c r="D35" s="17">
        <f t="shared" si="4"/>
        <v>0</v>
      </c>
      <c r="E35" s="17" t="str">
        <f t="shared" si="1"/>
        <v/>
      </c>
      <c r="F35" s="15">
        <f t="shared" si="5"/>
        <v>0</v>
      </c>
      <c r="G35" s="18" t="e">
        <f t="shared" si="2"/>
        <v>#DIV/0!</v>
      </c>
      <c r="I35" s="29">
        <f t="shared" ca="1" si="6"/>
        <v>45808</v>
      </c>
      <c r="J35" s="30"/>
      <c r="K35" s="30"/>
    </row>
    <row r="36" spans="1:11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SUM(E5:E35)</f>
        <v>0</v>
      </c>
      <c r="F36" s="15">
        <f>D36-C36</f>
        <v>0</v>
      </c>
      <c r="G36" s="18" t="e">
        <f>D36/C36</f>
        <v>#DIV/0!</v>
      </c>
    </row>
    <row r="37" spans="1:11" x14ac:dyDescent="0.4">
      <c r="B37" s="35"/>
      <c r="C37" s="35"/>
      <c r="E37" s="35"/>
    </row>
    <row r="705" spans="10:11" x14ac:dyDescent="0.4">
      <c r="J705">
        <v>297</v>
      </c>
      <c r="K705">
        <v>222.75</v>
      </c>
    </row>
  </sheetData>
  <mergeCells count="1">
    <mergeCell ref="B2:G3"/>
  </mergeCells>
  <phoneticPr fontId="3"/>
  <conditionalFormatting sqref="A5:A35">
    <cfRule type="expression" dxfId="23" priority="1">
      <formula>WEEKDAY(A5)=7</formula>
    </cfRule>
    <cfRule type="expression" dxfId="22" priority="2">
      <formula>WEEKDAY(A5)=1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K813"/>
  <sheetViews>
    <sheetView workbookViewId="0">
      <selection activeCell="I9" sqref="I9"/>
    </sheetView>
  </sheetViews>
  <sheetFormatPr defaultRowHeight="18.75" x14ac:dyDescent="0.4"/>
  <cols>
    <col min="1" max="1" width="8.75" customWidth="1"/>
    <col min="2" max="2" width="10.5" bestFit="1" customWidth="1"/>
    <col min="3" max="3" width="13.875" bestFit="1" customWidth="1"/>
    <col min="6" max="6" width="9.75" bestFit="1" customWidth="1"/>
    <col min="7" max="7" width="7.25" bestFit="1" customWidth="1"/>
  </cols>
  <sheetData>
    <row r="1" spans="1:11" x14ac:dyDescent="0.4">
      <c r="A1">
        <v>11</v>
      </c>
    </row>
    <row r="2" spans="1:11" x14ac:dyDescent="0.4">
      <c r="A2" s="2"/>
      <c r="B2" s="120" t="s">
        <v>35</v>
      </c>
      <c r="C2" s="121"/>
      <c r="D2" s="121"/>
      <c r="E2" s="121"/>
      <c r="F2" s="121"/>
      <c r="G2" s="122"/>
      <c r="J2">
        <f>COLUMN()</f>
        <v>10</v>
      </c>
      <c r="K2">
        <f>COLUMN()</f>
        <v>11</v>
      </c>
    </row>
    <row r="3" spans="1:11" x14ac:dyDescent="0.4">
      <c r="A3" s="2"/>
      <c r="B3" s="123"/>
      <c r="C3" s="124"/>
      <c r="D3" s="124"/>
      <c r="E3" s="124"/>
      <c r="F3" s="124"/>
      <c r="G3" s="125"/>
      <c r="J3" t="s">
        <v>25</v>
      </c>
    </row>
    <row r="4" spans="1:11" x14ac:dyDescent="0.4">
      <c r="A4" s="2"/>
      <c r="B4" s="2" t="s">
        <v>10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11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IFERROR(E5*90.91%,0)</f>
        <v>0</v>
      </c>
      <c r="E5" s="17" t="str">
        <f t="shared" ref="E5:E35" si="3">IF(J5="","",J5)</f>
        <v/>
      </c>
      <c r="F5" s="15">
        <f>D5-C5</f>
        <v>0</v>
      </c>
      <c r="G5" s="18" t="e">
        <f t="shared" ref="G5:G35" si="4">D5/C5</f>
        <v>#DIV/0!</v>
      </c>
      <c r="I5" s="29">
        <f ca="1">A5</f>
        <v>45778</v>
      </c>
      <c r="J5" s="30"/>
      <c r="K5" s="30"/>
    </row>
    <row r="6" spans="1:11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ref="F6:F35" si="5">D6-C6</f>
        <v>0</v>
      </c>
      <c r="G6" s="18" t="e">
        <f t="shared" si="4"/>
        <v>#DIV/0!</v>
      </c>
      <c r="I6" s="29">
        <f t="shared" ref="I6:I35" ca="1" si="6">A6</f>
        <v>45779</v>
      </c>
      <c r="J6" s="30"/>
      <c r="K6" s="30"/>
    </row>
    <row r="7" spans="1:11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5"/>
        <v>0</v>
      </c>
      <c r="G7" s="18" t="e">
        <f t="shared" si="4"/>
        <v>#DIV/0!</v>
      </c>
      <c r="I7" s="29">
        <f t="shared" ca="1" si="6"/>
        <v>45780</v>
      </c>
      <c r="J7" s="30"/>
      <c r="K7" s="30"/>
    </row>
    <row r="8" spans="1:11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5"/>
        <v>0</v>
      </c>
      <c r="G8" s="18" t="e">
        <f t="shared" si="4"/>
        <v>#DIV/0!</v>
      </c>
      <c r="I8" s="29">
        <f t="shared" ca="1" si="6"/>
        <v>45781</v>
      </c>
      <c r="J8" s="32"/>
      <c r="K8" s="32"/>
    </row>
    <row r="9" spans="1:11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5"/>
        <v>0</v>
      </c>
      <c r="G9" s="18" t="e">
        <f t="shared" si="4"/>
        <v>#DIV/0!</v>
      </c>
      <c r="I9" s="29">
        <f t="shared" ca="1" si="6"/>
        <v>45782</v>
      </c>
      <c r="J9" s="32"/>
      <c r="K9" s="32"/>
    </row>
    <row r="10" spans="1:11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5"/>
        <v>0</v>
      </c>
      <c r="G10" s="18" t="e">
        <f t="shared" si="4"/>
        <v>#DIV/0!</v>
      </c>
      <c r="I10" s="29">
        <f t="shared" ca="1" si="6"/>
        <v>45783</v>
      </c>
      <c r="J10" s="32"/>
      <c r="K10" s="32"/>
    </row>
    <row r="11" spans="1:11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5"/>
        <v>0</v>
      </c>
      <c r="G11" s="18" t="e">
        <f t="shared" si="4"/>
        <v>#DIV/0!</v>
      </c>
      <c r="I11" s="29">
        <f t="shared" ca="1" si="6"/>
        <v>45784</v>
      </c>
      <c r="J11" s="32"/>
      <c r="K11" s="32"/>
    </row>
    <row r="12" spans="1:11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5"/>
        <v>0</v>
      </c>
      <c r="G12" s="18" t="e">
        <f t="shared" si="4"/>
        <v>#DIV/0!</v>
      </c>
      <c r="I12" s="29">
        <f t="shared" ca="1" si="6"/>
        <v>45785</v>
      </c>
      <c r="J12" s="30"/>
      <c r="K12" s="30"/>
    </row>
    <row r="13" spans="1:11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5"/>
        <v>0</v>
      </c>
      <c r="G13" s="18" t="e">
        <f t="shared" si="4"/>
        <v>#DIV/0!</v>
      </c>
      <c r="I13" s="29">
        <f t="shared" ca="1" si="6"/>
        <v>45786</v>
      </c>
      <c r="J13" s="32"/>
      <c r="K13" s="32"/>
    </row>
    <row r="14" spans="1:11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5"/>
        <v>0</v>
      </c>
      <c r="G14" s="18" t="e">
        <f t="shared" si="4"/>
        <v>#DIV/0!</v>
      </c>
      <c r="I14" s="29">
        <f t="shared" ca="1" si="6"/>
        <v>45787</v>
      </c>
      <c r="J14" s="32"/>
      <c r="K14" s="32"/>
    </row>
    <row r="15" spans="1:11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5"/>
        <v>0</v>
      </c>
      <c r="G15" s="18" t="e">
        <f t="shared" si="4"/>
        <v>#DIV/0!</v>
      </c>
      <c r="I15" s="29">
        <f t="shared" ca="1" si="6"/>
        <v>45788</v>
      </c>
      <c r="J15" s="30"/>
      <c r="K15" s="30"/>
    </row>
    <row r="16" spans="1:11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5"/>
        <v>0</v>
      </c>
      <c r="G16" s="18" t="e">
        <f t="shared" si="4"/>
        <v>#DIV/0!</v>
      </c>
      <c r="I16" s="29">
        <f t="shared" ca="1" si="6"/>
        <v>45789</v>
      </c>
      <c r="J16" s="31"/>
      <c r="K16" s="31"/>
    </row>
    <row r="17" spans="1:11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5"/>
        <v>0</v>
      </c>
      <c r="G17" s="18" t="e">
        <f t="shared" si="4"/>
        <v>#DIV/0!</v>
      </c>
      <c r="I17" s="29">
        <f t="shared" ca="1" si="6"/>
        <v>45790</v>
      </c>
      <c r="J17" s="32"/>
      <c r="K17" s="32"/>
    </row>
    <row r="18" spans="1:11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5"/>
        <v>0</v>
      </c>
      <c r="G18" s="18" t="e">
        <f t="shared" si="4"/>
        <v>#DIV/0!</v>
      </c>
      <c r="I18" s="29">
        <f t="shared" ca="1" si="6"/>
        <v>45791</v>
      </c>
      <c r="J18" s="31"/>
      <c r="K18" s="31"/>
    </row>
    <row r="19" spans="1:11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5"/>
        <v>0</v>
      </c>
      <c r="G19" s="18" t="e">
        <f t="shared" si="4"/>
        <v>#DIV/0!</v>
      </c>
      <c r="I19" s="29">
        <f t="shared" ca="1" si="6"/>
        <v>45792</v>
      </c>
      <c r="J19" s="31"/>
      <c r="K19" s="34"/>
    </row>
    <row r="20" spans="1:11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5"/>
        <v>0</v>
      </c>
      <c r="G20" s="18" t="e">
        <f t="shared" si="4"/>
        <v>#DIV/0!</v>
      </c>
      <c r="I20" s="29">
        <f t="shared" ca="1" si="6"/>
        <v>45793</v>
      </c>
      <c r="J20" s="31"/>
      <c r="K20" s="30"/>
    </row>
    <row r="21" spans="1:11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5"/>
        <v>0</v>
      </c>
      <c r="G21" s="18" t="e">
        <f t="shared" si="4"/>
        <v>#DIV/0!</v>
      </c>
      <c r="I21" s="29">
        <f t="shared" ca="1" si="6"/>
        <v>45794</v>
      </c>
      <c r="J21" s="32"/>
      <c r="K21" s="34"/>
    </row>
    <row r="22" spans="1:11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5"/>
        <v>0</v>
      </c>
      <c r="G22" s="18" t="e">
        <f t="shared" si="4"/>
        <v>#DIV/0!</v>
      </c>
      <c r="I22" s="29">
        <f t="shared" ca="1" si="6"/>
        <v>45795</v>
      </c>
      <c r="J22" s="30"/>
      <c r="K22" s="30"/>
    </row>
    <row r="23" spans="1:11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5"/>
        <v>0</v>
      </c>
      <c r="G23" s="18" t="e">
        <f t="shared" si="4"/>
        <v>#DIV/0!</v>
      </c>
      <c r="I23" s="29">
        <f t="shared" ca="1" si="6"/>
        <v>45796</v>
      </c>
      <c r="J23" s="31"/>
      <c r="K23" s="34"/>
    </row>
    <row r="24" spans="1:11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5"/>
        <v>0</v>
      </c>
      <c r="G24" s="18" t="e">
        <f t="shared" si="4"/>
        <v>#DIV/0!</v>
      </c>
      <c r="I24" s="29">
        <f t="shared" ca="1" si="6"/>
        <v>45797</v>
      </c>
      <c r="J24" s="30"/>
      <c r="K24" s="30"/>
    </row>
    <row r="25" spans="1:11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5"/>
        <v>0</v>
      </c>
      <c r="G25" s="18" t="e">
        <f t="shared" si="4"/>
        <v>#DIV/0!</v>
      </c>
      <c r="I25" s="29">
        <f t="shared" ca="1" si="6"/>
        <v>45798</v>
      </c>
      <c r="J25" s="32"/>
      <c r="K25" s="34"/>
    </row>
    <row r="26" spans="1:11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5"/>
        <v>0</v>
      </c>
      <c r="G26" s="18" t="e">
        <f t="shared" si="4"/>
        <v>#DIV/0!</v>
      </c>
      <c r="I26" s="29">
        <f t="shared" ca="1" si="6"/>
        <v>45799</v>
      </c>
      <c r="J26" s="31"/>
      <c r="K26" s="31"/>
    </row>
    <row r="27" spans="1:11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5"/>
        <v>0</v>
      </c>
      <c r="G27" s="18" t="e">
        <f t="shared" si="4"/>
        <v>#DIV/0!</v>
      </c>
      <c r="I27" s="29">
        <f t="shared" ca="1" si="6"/>
        <v>45800</v>
      </c>
      <c r="J27" s="32"/>
      <c r="K27" s="32"/>
    </row>
    <row r="28" spans="1:11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5"/>
        <v>0</v>
      </c>
      <c r="G28" s="18" t="e">
        <f t="shared" si="4"/>
        <v>#DIV/0!</v>
      </c>
      <c r="I28" s="29">
        <f t="shared" ca="1" si="6"/>
        <v>45801</v>
      </c>
      <c r="J28" s="31"/>
      <c r="K28" s="32"/>
    </row>
    <row r="29" spans="1:11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5"/>
        <v>0</v>
      </c>
      <c r="G29" s="18" t="e">
        <f t="shared" si="4"/>
        <v>#DIV/0!</v>
      </c>
      <c r="I29" s="29">
        <f t="shared" ca="1" si="6"/>
        <v>45802</v>
      </c>
      <c r="J29" s="30"/>
      <c r="K29" s="30"/>
    </row>
    <row r="30" spans="1:11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5"/>
        <v>0</v>
      </c>
      <c r="G30" s="18" t="e">
        <f t="shared" si="4"/>
        <v>#DIV/0!</v>
      </c>
      <c r="I30" s="29">
        <f t="shared" ca="1" si="6"/>
        <v>45803</v>
      </c>
      <c r="J30" s="31"/>
      <c r="K30" s="31"/>
    </row>
    <row r="31" spans="1:11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5"/>
        <v>0</v>
      </c>
      <c r="G31" s="18" t="e">
        <f t="shared" si="4"/>
        <v>#DIV/0!</v>
      </c>
      <c r="I31" s="29">
        <f t="shared" ca="1" si="6"/>
        <v>45804</v>
      </c>
      <c r="J31" s="30"/>
      <c r="K31" s="30"/>
    </row>
    <row r="32" spans="1:11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5"/>
        <v>0</v>
      </c>
      <c r="G32" s="18" t="e">
        <f t="shared" si="4"/>
        <v>#DIV/0!</v>
      </c>
      <c r="I32" s="29">
        <f t="shared" ca="1" si="6"/>
        <v>45805</v>
      </c>
      <c r="J32" s="31"/>
      <c r="K32" s="31"/>
    </row>
    <row r="33" spans="1:11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5"/>
        <v>0</v>
      </c>
      <c r="G33" s="18" t="e">
        <f t="shared" si="4"/>
        <v>#DIV/0!</v>
      </c>
      <c r="I33" s="29">
        <f t="shared" ca="1" si="6"/>
        <v>45806</v>
      </c>
      <c r="J33" s="31"/>
      <c r="K33" s="31"/>
    </row>
    <row r="34" spans="1:11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5"/>
        <v>0</v>
      </c>
      <c r="G34" s="18" t="e">
        <f t="shared" si="4"/>
        <v>#DIV/0!</v>
      </c>
      <c r="I34" s="29">
        <f t="shared" ca="1" si="6"/>
        <v>45807</v>
      </c>
      <c r="J34" s="31"/>
      <c r="K34" s="31"/>
    </row>
    <row r="35" spans="1:11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5"/>
        <v>0</v>
      </c>
      <c r="G35" s="18" t="e">
        <f t="shared" si="4"/>
        <v>#DIV/0!</v>
      </c>
      <c r="I35" s="29">
        <f t="shared" ca="1" si="6"/>
        <v>45808</v>
      </c>
      <c r="J35" s="31"/>
      <c r="K35" s="31"/>
    </row>
    <row r="36" spans="1:11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>D36/C36</f>
        <v>#DIV/0!</v>
      </c>
    </row>
    <row r="611" spans="10:11" x14ac:dyDescent="0.4">
      <c r="J611">
        <v>488.52100000000002</v>
      </c>
      <c r="K611">
        <v>436.99829999999997</v>
      </c>
    </row>
    <row r="705" spans="10:11" x14ac:dyDescent="0.4">
      <c r="J705">
        <v>964.08399999999995</v>
      </c>
      <c r="K705">
        <v>788.79600000000005</v>
      </c>
    </row>
    <row r="813" spans="10:11" x14ac:dyDescent="0.4">
      <c r="J813">
        <v>414.34800000000001</v>
      </c>
      <c r="K813">
        <v>521.88210000000004</v>
      </c>
    </row>
  </sheetData>
  <mergeCells count="1">
    <mergeCell ref="B2:G3"/>
  </mergeCells>
  <phoneticPr fontId="3"/>
  <conditionalFormatting sqref="A5:A35">
    <cfRule type="expression" dxfId="21" priority="1">
      <formula>WEEKDAY(A5)=7</formula>
    </cfRule>
    <cfRule type="expression" dxfId="20" priority="2">
      <formula>WEEKDAY(A5)=1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0000"/>
  </sheetPr>
  <dimension ref="A1:Z813"/>
  <sheetViews>
    <sheetView workbookViewId="0">
      <selection activeCell="L22" sqref="L22"/>
    </sheetView>
  </sheetViews>
  <sheetFormatPr defaultRowHeight="18.75" x14ac:dyDescent="0.4"/>
  <cols>
    <col min="2" max="2" width="10.5" bestFit="1" customWidth="1"/>
  </cols>
  <sheetData>
    <row r="1" spans="1:24" x14ac:dyDescent="0.4">
      <c r="A1">
        <v>13</v>
      </c>
    </row>
    <row r="2" spans="1:24" x14ac:dyDescent="0.4">
      <c r="A2" s="2"/>
      <c r="B2" s="120" t="s">
        <v>34</v>
      </c>
      <c r="C2" s="121"/>
      <c r="D2" s="121"/>
      <c r="E2" s="121"/>
      <c r="F2" s="121"/>
      <c r="G2" s="122"/>
    </row>
    <row r="3" spans="1:24" x14ac:dyDescent="0.4">
      <c r="A3" s="2"/>
      <c r="B3" s="123"/>
      <c r="C3" s="124"/>
      <c r="D3" s="124"/>
      <c r="E3" s="124"/>
      <c r="F3" s="124"/>
      <c r="G3" s="125"/>
      <c r="J3" t="s">
        <v>25</v>
      </c>
    </row>
    <row r="4" spans="1:24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4" x14ac:dyDescent="0.4">
      <c r="A5" s="16">
        <f ca="1">合計!$A5</f>
        <v>45778</v>
      </c>
      <c r="B5" s="17" t="str">
        <f>IF(K5="","",K5)</f>
        <v/>
      </c>
      <c r="C5" s="17">
        <f>IFERROR(B5*90.91%,0)</f>
        <v>0</v>
      </c>
      <c r="D5" s="17">
        <f>IFERROR(E5*92.597%,0)</f>
        <v>0</v>
      </c>
      <c r="E5" s="17" t="str">
        <f>IF(J5="","",J5)</f>
        <v/>
      </c>
      <c r="F5" s="15">
        <f t="shared" ref="F5:F36" si="0">D5-C5</f>
        <v>0</v>
      </c>
      <c r="G5" s="18" t="e">
        <f t="shared" ref="G5:G36" si="1">D5/C5</f>
        <v>#DIV/0!</v>
      </c>
      <c r="I5" s="29">
        <f t="shared" ref="I5:I35" ca="1" si="2">A5</f>
        <v>45778</v>
      </c>
      <c r="J5" s="30"/>
      <c r="K5" s="30"/>
      <c r="X5" s="29"/>
    </row>
    <row r="6" spans="1:24" x14ac:dyDescent="0.4">
      <c r="A6" s="16">
        <f ca="1">合計!$A6</f>
        <v>45779</v>
      </c>
      <c r="B6" s="17" t="str">
        <f t="shared" ref="B6:B35" si="3">IF(K6="","",K6)</f>
        <v/>
      </c>
      <c r="C6" s="17">
        <f t="shared" ref="C6:C35" si="4">IFERROR(B6*90.91%,0)</f>
        <v>0</v>
      </c>
      <c r="D6" s="17">
        <f t="shared" ref="D6:D35" si="5">IFERROR(E6*92.597%,0)</f>
        <v>0</v>
      </c>
      <c r="E6" s="17" t="str">
        <f t="shared" ref="E6:E35" si="6">IF(J6="","",J6)</f>
        <v/>
      </c>
      <c r="F6" s="15">
        <f t="shared" si="0"/>
        <v>0</v>
      </c>
      <c r="G6" s="18" t="e">
        <f t="shared" si="1"/>
        <v>#DIV/0!</v>
      </c>
      <c r="I6" s="29">
        <f t="shared" ca="1" si="2"/>
        <v>45779</v>
      </c>
      <c r="J6" s="32"/>
      <c r="K6" s="32"/>
      <c r="X6" s="29"/>
    </row>
    <row r="7" spans="1:24" x14ac:dyDescent="0.4">
      <c r="A7" s="16">
        <f ca="1">合計!$A7</f>
        <v>45780</v>
      </c>
      <c r="B7" s="17" t="str">
        <f t="shared" si="3"/>
        <v/>
      </c>
      <c r="C7" s="17">
        <f t="shared" si="4"/>
        <v>0</v>
      </c>
      <c r="D7" s="17">
        <f t="shared" si="5"/>
        <v>0</v>
      </c>
      <c r="E7" s="17" t="str">
        <f t="shared" si="6"/>
        <v/>
      </c>
      <c r="F7" s="15">
        <f t="shared" si="0"/>
        <v>0</v>
      </c>
      <c r="G7" s="18" t="e">
        <f t="shared" si="1"/>
        <v>#DIV/0!</v>
      </c>
      <c r="I7" s="29">
        <f t="shared" ca="1" si="2"/>
        <v>45780</v>
      </c>
      <c r="J7" s="30"/>
      <c r="K7" s="30"/>
      <c r="X7" s="29"/>
    </row>
    <row r="8" spans="1:24" x14ac:dyDescent="0.4">
      <c r="A8" s="16">
        <f ca="1">合計!$A8</f>
        <v>45781</v>
      </c>
      <c r="B8" s="17" t="str">
        <f t="shared" si="3"/>
        <v/>
      </c>
      <c r="C8" s="17">
        <f t="shared" si="4"/>
        <v>0</v>
      </c>
      <c r="D8" s="17">
        <f t="shared" si="5"/>
        <v>0</v>
      </c>
      <c r="E8" s="17" t="str">
        <f t="shared" si="6"/>
        <v/>
      </c>
      <c r="F8" s="15">
        <f t="shared" si="0"/>
        <v>0</v>
      </c>
      <c r="G8" s="18" t="e">
        <f t="shared" si="1"/>
        <v>#DIV/0!</v>
      </c>
      <c r="I8" s="29">
        <f t="shared" ca="1" si="2"/>
        <v>45781</v>
      </c>
      <c r="J8" s="32"/>
      <c r="K8" s="32"/>
      <c r="X8" s="29"/>
    </row>
    <row r="9" spans="1:24" x14ac:dyDescent="0.4">
      <c r="A9" s="16">
        <f ca="1">合計!$A9</f>
        <v>45782</v>
      </c>
      <c r="B9" s="17" t="str">
        <f t="shared" si="3"/>
        <v/>
      </c>
      <c r="C9" s="17">
        <f t="shared" si="4"/>
        <v>0</v>
      </c>
      <c r="D9" s="17">
        <f t="shared" si="5"/>
        <v>0</v>
      </c>
      <c r="E9" s="17" t="str">
        <f t="shared" si="6"/>
        <v/>
      </c>
      <c r="F9" s="15">
        <f t="shared" si="0"/>
        <v>0</v>
      </c>
      <c r="G9" s="18" t="e">
        <f t="shared" si="1"/>
        <v>#DIV/0!</v>
      </c>
      <c r="I9" s="29">
        <f t="shared" ca="1" si="2"/>
        <v>45782</v>
      </c>
      <c r="J9" s="32"/>
      <c r="K9" s="32"/>
      <c r="X9" s="29"/>
    </row>
    <row r="10" spans="1:24" x14ac:dyDescent="0.4">
      <c r="A10" s="16">
        <f ca="1">合計!$A10</f>
        <v>45783</v>
      </c>
      <c r="B10" s="17" t="str">
        <f t="shared" si="3"/>
        <v/>
      </c>
      <c r="C10" s="17">
        <f t="shared" si="4"/>
        <v>0</v>
      </c>
      <c r="D10" s="17">
        <f t="shared" si="5"/>
        <v>0</v>
      </c>
      <c r="E10" s="17" t="str">
        <f t="shared" si="6"/>
        <v/>
      </c>
      <c r="F10" s="15">
        <f t="shared" si="0"/>
        <v>0</v>
      </c>
      <c r="G10" s="18" t="e">
        <f t="shared" si="1"/>
        <v>#DIV/0!</v>
      </c>
      <c r="I10" s="29">
        <f t="shared" ca="1" si="2"/>
        <v>45783</v>
      </c>
      <c r="J10" s="30"/>
      <c r="K10" s="30"/>
      <c r="X10" s="29"/>
    </row>
    <row r="11" spans="1:24" x14ac:dyDescent="0.4">
      <c r="A11" s="16">
        <f ca="1">合計!$A11</f>
        <v>45784</v>
      </c>
      <c r="B11" s="17" t="str">
        <f t="shared" si="3"/>
        <v/>
      </c>
      <c r="C11" s="17">
        <f t="shared" si="4"/>
        <v>0</v>
      </c>
      <c r="D11" s="17">
        <f t="shared" si="5"/>
        <v>0</v>
      </c>
      <c r="E11" s="17" t="str">
        <f t="shared" si="6"/>
        <v/>
      </c>
      <c r="F11" s="15">
        <f t="shared" si="0"/>
        <v>0</v>
      </c>
      <c r="G11" s="18" t="e">
        <f t="shared" si="1"/>
        <v>#DIV/0!</v>
      </c>
      <c r="I11" s="29">
        <f t="shared" ca="1" si="2"/>
        <v>45784</v>
      </c>
      <c r="J11" s="32"/>
      <c r="K11" s="32"/>
      <c r="X11" s="29"/>
    </row>
    <row r="12" spans="1:24" x14ac:dyDescent="0.4">
      <c r="A12" s="16">
        <f ca="1">合計!$A12</f>
        <v>45785</v>
      </c>
      <c r="B12" s="17" t="str">
        <f t="shared" si="3"/>
        <v/>
      </c>
      <c r="C12" s="17">
        <f t="shared" si="4"/>
        <v>0</v>
      </c>
      <c r="D12" s="17">
        <f t="shared" si="5"/>
        <v>0</v>
      </c>
      <c r="E12" s="17" t="str">
        <f t="shared" si="6"/>
        <v/>
      </c>
      <c r="F12" s="15">
        <f t="shared" si="0"/>
        <v>0</v>
      </c>
      <c r="G12" s="18" t="e">
        <f t="shared" si="1"/>
        <v>#DIV/0!</v>
      </c>
      <c r="I12" s="29">
        <f t="shared" ca="1" si="2"/>
        <v>45785</v>
      </c>
      <c r="J12" s="32"/>
      <c r="K12" s="32"/>
      <c r="X12" s="29"/>
    </row>
    <row r="13" spans="1:24" x14ac:dyDescent="0.4">
      <c r="A13" s="16">
        <f ca="1">合計!$A13</f>
        <v>45786</v>
      </c>
      <c r="B13" s="17" t="str">
        <f t="shared" si="3"/>
        <v/>
      </c>
      <c r="C13" s="17">
        <f t="shared" si="4"/>
        <v>0</v>
      </c>
      <c r="D13" s="17">
        <f t="shared" si="5"/>
        <v>0</v>
      </c>
      <c r="E13" s="17" t="str">
        <f t="shared" si="6"/>
        <v/>
      </c>
      <c r="F13" s="15">
        <f t="shared" si="0"/>
        <v>0</v>
      </c>
      <c r="G13" s="18" t="e">
        <f t="shared" si="1"/>
        <v>#DIV/0!</v>
      </c>
      <c r="I13" s="29">
        <f t="shared" ca="1" si="2"/>
        <v>45786</v>
      </c>
      <c r="J13" s="31"/>
      <c r="K13" s="31"/>
      <c r="X13" s="29"/>
    </row>
    <row r="14" spans="1:24" x14ac:dyDescent="0.4">
      <c r="A14" s="16">
        <f ca="1">合計!$A14</f>
        <v>45787</v>
      </c>
      <c r="B14" s="17" t="str">
        <f t="shared" si="3"/>
        <v/>
      </c>
      <c r="C14" s="17">
        <f t="shared" si="4"/>
        <v>0</v>
      </c>
      <c r="D14" s="17">
        <f t="shared" si="5"/>
        <v>0</v>
      </c>
      <c r="E14" s="17" t="str">
        <f t="shared" si="6"/>
        <v/>
      </c>
      <c r="F14" s="15">
        <f t="shared" si="0"/>
        <v>0</v>
      </c>
      <c r="G14" s="18" t="e">
        <f t="shared" si="1"/>
        <v>#DIV/0!</v>
      </c>
      <c r="I14" s="29">
        <f t="shared" ca="1" si="2"/>
        <v>45787</v>
      </c>
      <c r="J14" s="30"/>
      <c r="K14" s="30"/>
      <c r="X14" s="29"/>
    </row>
    <row r="15" spans="1:24" x14ac:dyDescent="0.4">
      <c r="A15" s="16">
        <f ca="1">合計!$A15</f>
        <v>45788</v>
      </c>
      <c r="B15" s="17" t="str">
        <f t="shared" si="3"/>
        <v/>
      </c>
      <c r="C15" s="17">
        <f t="shared" si="4"/>
        <v>0</v>
      </c>
      <c r="D15" s="17">
        <f t="shared" si="5"/>
        <v>0</v>
      </c>
      <c r="E15" s="17" t="str">
        <f t="shared" si="6"/>
        <v/>
      </c>
      <c r="F15" s="15">
        <f t="shared" si="0"/>
        <v>0</v>
      </c>
      <c r="G15" s="18" t="e">
        <f t="shared" si="1"/>
        <v>#DIV/0!</v>
      </c>
      <c r="I15" s="29">
        <f t="shared" ca="1" si="2"/>
        <v>45788</v>
      </c>
      <c r="J15" s="30"/>
      <c r="K15" s="30"/>
      <c r="X15" s="29"/>
    </row>
    <row r="16" spans="1:24" x14ac:dyDescent="0.4">
      <c r="A16" s="16">
        <f ca="1">合計!$A16</f>
        <v>45789</v>
      </c>
      <c r="B16" s="17" t="str">
        <f t="shared" si="3"/>
        <v/>
      </c>
      <c r="C16" s="17">
        <f t="shared" si="4"/>
        <v>0</v>
      </c>
      <c r="D16" s="17">
        <f t="shared" si="5"/>
        <v>0</v>
      </c>
      <c r="E16" s="17" t="str">
        <f t="shared" si="6"/>
        <v/>
      </c>
      <c r="F16" s="15">
        <f t="shared" si="0"/>
        <v>0</v>
      </c>
      <c r="G16" s="18" t="e">
        <f t="shared" si="1"/>
        <v>#DIV/0!</v>
      </c>
      <c r="I16" s="29">
        <f t="shared" ca="1" si="2"/>
        <v>45789</v>
      </c>
      <c r="J16" s="31"/>
      <c r="K16" s="31"/>
      <c r="X16" s="29"/>
    </row>
    <row r="17" spans="1:26" x14ac:dyDescent="0.4">
      <c r="A17" s="16">
        <f ca="1">合計!$A17</f>
        <v>45790</v>
      </c>
      <c r="B17" s="17" t="str">
        <f t="shared" si="3"/>
        <v/>
      </c>
      <c r="C17" s="17">
        <f t="shared" si="4"/>
        <v>0</v>
      </c>
      <c r="D17" s="17">
        <f t="shared" si="5"/>
        <v>0</v>
      </c>
      <c r="E17" s="17" t="str">
        <f t="shared" si="6"/>
        <v/>
      </c>
      <c r="F17" s="15">
        <f t="shared" si="0"/>
        <v>0</v>
      </c>
      <c r="G17" s="18" t="e">
        <f t="shared" si="1"/>
        <v>#DIV/0!</v>
      </c>
      <c r="I17" s="29">
        <f t="shared" ca="1" si="2"/>
        <v>45790</v>
      </c>
      <c r="J17" s="32"/>
      <c r="K17" s="32"/>
      <c r="X17" s="29"/>
    </row>
    <row r="18" spans="1:26" x14ac:dyDescent="0.4">
      <c r="A18" s="16">
        <f ca="1">合計!$A18</f>
        <v>45791</v>
      </c>
      <c r="B18" s="17" t="str">
        <f t="shared" si="3"/>
        <v/>
      </c>
      <c r="C18" s="17">
        <f t="shared" si="4"/>
        <v>0</v>
      </c>
      <c r="D18" s="17">
        <f t="shared" si="5"/>
        <v>0</v>
      </c>
      <c r="E18" s="17" t="str">
        <f t="shared" si="6"/>
        <v/>
      </c>
      <c r="F18" s="15">
        <f t="shared" si="0"/>
        <v>0</v>
      </c>
      <c r="G18" s="18" t="e">
        <f t="shared" si="1"/>
        <v>#DIV/0!</v>
      </c>
      <c r="I18" s="29">
        <f t="shared" ca="1" si="2"/>
        <v>45791</v>
      </c>
      <c r="J18" s="31"/>
      <c r="K18" s="31"/>
      <c r="X18" s="29"/>
    </row>
    <row r="19" spans="1:26" x14ac:dyDescent="0.4">
      <c r="A19" s="16">
        <f ca="1">合計!$A19</f>
        <v>45792</v>
      </c>
      <c r="B19" s="17" t="str">
        <f t="shared" si="3"/>
        <v/>
      </c>
      <c r="C19" s="17">
        <f t="shared" si="4"/>
        <v>0</v>
      </c>
      <c r="D19" s="17">
        <f t="shared" si="5"/>
        <v>0</v>
      </c>
      <c r="E19" s="17" t="str">
        <f t="shared" si="6"/>
        <v/>
      </c>
      <c r="F19" s="15">
        <f t="shared" si="0"/>
        <v>0</v>
      </c>
      <c r="G19" s="18" t="e">
        <f t="shared" si="1"/>
        <v>#DIV/0!</v>
      </c>
      <c r="I19" s="29">
        <f t="shared" ca="1" si="2"/>
        <v>45792</v>
      </c>
      <c r="J19" s="31"/>
      <c r="K19" s="30"/>
      <c r="X19" s="29"/>
      <c r="Z19" s="33"/>
    </row>
    <row r="20" spans="1:26" x14ac:dyDescent="0.4">
      <c r="A20" s="16">
        <f ca="1">合計!$A20</f>
        <v>45793</v>
      </c>
      <c r="B20" s="17" t="str">
        <f t="shared" si="3"/>
        <v/>
      </c>
      <c r="C20" s="17">
        <f t="shared" si="4"/>
        <v>0</v>
      </c>
      <c r="D20" s="17">
        <f t="shared" si="5"/>
        <v>0</v>
      </c>
      <c r="E20" s="17" t="str">
        <f t="shared" si="6"/>
        <v/>
      </c>
      <c r="F20" s="15">
        <f t="shared" si="0"/>
        <v>0</v>
      </c>
      <c r="G20" s="18" t="e">
        <f t="shared" si="1"/>
        <v>#DIV/0!</v>
      </c>
      <c r="I20" s="29">
        <f t="shared" ca="1" si="2"/>
        <v>45793</v>
      </c>
      <c r="J20" s="32"/>
      <c r="K20" s="30"/>
      <c r="X20" s="29"/>
      <c r="Z20" s="33"/>
    </row>
    <row r="21" spans="1:26" x14ac:dyDescent="0.4">
      <c r="A21" s="16">
        <f ca="1">合計!$A21</f>
        <v>45794</v>
      </c>
      <c r="B21" s="17" t="str">
        <f t="shared" si="3"/>
        <v/>
      </c>
      <c r="C21" s="17">
        <f t="shared" si="4"/>
        <v>0</v>
      </c>
      <c r="D21" s="17">
        <f t="shared" si="5"/>
        <v>0</v>
      </c>
      <c r="E21" s="17" t="str">
        <f t="shared" si="6"/>
        <v/>
      </c>
      <c r="F21" s="15">
        <f t="shared" si="0"/>
        <v>0</v>
      </c>
      <c r="G21" s="18" t="e">
        <f t="shared" si="1"/>
        <v>#DIV/0!</v>
      </c>
      <c r="I21" s="29">
        <f t="shared" ca="1" si="2"/>
        <v>45794</v>
      </c>
      <c r="J21" s="31"/>
      <c r="K21" s="30"/>
      <c r="X21" s="29"/>
      <c r="Z21" s="33"/>
    </row>
    <row r="22" spans="1:26" x14ac:dyDescent="0.4">
      <c r="A22" s="16">
        <f ca="1">合計!$A22</f>
        <v>45795</v>
      </c>
      <c r="B22" s="17" t="str">
        <f t="shared" si="3"/>
        <v/>
      </c>
      <c r="C22" s="17">
        <f t="shared" si="4"/>
        <v>0</v>
      </c>
      <c r="D22" s="17">
        <f t="shared" si="5"/>
        <v>0</v>
      </c>
      <c r="E22" s="17" t="str">
        <f t="shared" si="6"/>
        <v/>
      </c>
      <c r="F22" s="15">
        <f t="shared" si="0"/>
        <v>0</v>
      </c>
      <c r="G22" s="18" t="e">
        <f t="shared" si="1"/>
        <v>#DIV/0!</v>
      </c>
      <c r="I22" s="29">
        <f t="shared" ca="1" si="2"/>
        <v>45795</v>
      </c>
      <c r="J22" s="30"/>
      <c r="K22" s="30"/>
      <c r="X22" s="29"/>
      <c r="Z22" s="33"/>
    </row>
    <row r="23" spans="1:26" x14ac:dyDescent="0.4">
      <c r="A23" s="16">
        <f ca="1">合計!$A23</f>
        <v>45796</v>
      </c>
      <c r="B23" s="17" t="str">
        <f t="shared" si="3"/>
        <v/>
      </c>
      <c r="C23" s="17">
        <f t="shared" si="4"/>
        <v>0</v>
      </c>
      <c r="D23" s="17">
        <f t="shared" si="5"/>
        <v>0</v>
      </c>
      <c r="E23" s="17" t="str">
        <f t="shared" si="6"/>
        <v/>
      </c>
      <c r="F23" s="15">
        <f t="shared" si="0"/>
        <v>0</v>
      </c>
      <c r="G23" s="18" t="e">
        <f t="shared" si="1"/>
        <v>#DIV/0!</v>
      </c>
      <c r="I23" s="29">
        <f t="shared" ca="1" si="2"/>
        <v>45796</v>
      </c>
      <c r="J23" s="32"/>
      <c r="K23" s="34"/>
      <c r="X23" s="29"/>
      <c r="Z23" s="33"/>
    </row>
    <row r="24" spans="1:26" x14ac:dyDescent="0.4">
      <c r="A24" s="16">
        <f ca="1">合計!$A24</f>
        <v>45797</v>
      </c>
      <c r="B24" s="17" t="str">
        <f t="shared" si="3"/>
        <v/>
      </c>
      <c r="C24" s="17">
        <f t="shared" si="4"/>
        <v>0</v>
      </c>
      <c r="D24" s="17">
        <f t="shared" si="5"/>
        <v>0</v>
      </c>
      <c r="E24" s="17" t="str">
        <f t="shared" si="6"/>
        <v/>
      </c>
      <c r="F24" s="15">
        <f t="shared" si="0"/>
        <v>0</v>
      </c>
      <c r="G24" s="18" t="e">
        <f t="shared" si="1"/>
        <v>#DIV/0!</v>
      </c>
      <c r="I24" s="29">
        <f t="shared" ca="1" si="2"/>
        <v>45797</v>
      </c>
      <c r="J24" s="30"/>
      <c r="K24" s="30"/>
      <c r="X24" s="29"/>
      <c r="Z24" s="33"/>
    </row>
    <row r="25" spans="1:26" x14ac:dyDescent="0.4">
      <c r="A25" s="16">
        <f ca="1">合計!$A25</f>
        <v>45798</v>
      </c>
      <c r="B25" s="17" t="str">
        <f t="shared" si="3"/>
        <v/>
      </c>
      <c r="C25" s="17">
        <f t="shared" si="4"/>
        <v>0</v>
      </c>
      <c r="D25" s="17">
        <f t="shared" si="5"/>
        <v>0</v>
      </c>
      <c r="E25" s="17" t="str">
        <f t="shared" si="6"/>
        <v/>
      </c>
      <c r="F25" s="15">
        <f t="shared" si="0"/>
        <v>0</v>
      </c>
      <c r="G25" s="18" t="e">
        <f t="shared" si="1"/>
        <v>#DIV/0!</v>
      </c>
      <c r="I25" s="29">
        <f t="shared" ca="1" si="2"/>
        <v>45798</v>
      </c>
      <c r="J25" s="32"/>
      <c r="K25" s="34"/>
      <c r="X25" s="29"/>
      <c r="Z25" s="33"/>
    </row>
    <row r="26" spans="1:26" x14ac:dyDescent="0.4">
      <c r="A26" s="16">
        <f ca="1">合計!$A26</f>
        <v>45799</v>
      </c>
      <c r="B26" s="17" t="str">
        <f t="shared" si="3"/>
        <v/>
      </c>
      <c r="C26" s="17">
        <f t="shared" si="4"/>
        <v>0</v>
      </c>
      <c r="D26" s="17">
        <f t="shared" si="5"/>
        <v>0</v>
      </c>
      <c r="E26" s="17" t="str">
        <f t="shared" si="6"/>
        <v/>
      </c>
      <c r="F26" s="15">
        <f t="shared" si="0"/>
        <v>0</v>
      </c>
      <c r="G26" s="18" t="e">
        <f t="shared" si="1"/>
        <v>#DIV/0!</v>
      </c>
      <c r="I26" s="29">
        <f t="shared" ca="1" si="2"/>
        <v>45799</v>
      </c>
      <c r="J26" s="31"/>
      <c r="K26" s="31"/>
      <c r="X26" s="29"/>
    </row>
    <row r="27" spans="1:26" x14ac:dyDescent="0.4">
      <c r="A27" s="16">
        <f ca="1">合計!$A27</f>
        <v>45800</v>
      </c>
      <c r="B27" s="17" t="str">
        <f t="shared" si="3"/>
        <v/>
      </c>
      <c r="C27" s="17">
        <f t="shared" si="4"/>
        <v>0</v>
      </c>
      <c r="D27" s="17">
        <f t="shared" si="5"/>
        <v>0</v>
      </c>
      <c r="E27" s="17" t="str">
        <f t="shared" si="6"/>
        <v/>
      </c>
      <c r="F27" s="15">
        <f t="shared" si="0"/>
        <v>0</v>
      </c>
      <c r="G27" s="18" t="e">
        <f t="shared" si="1"/>
        <v>#DIV/0!</v>
      </c>
      <c r="I27" s="29">
        <f t="shared" ca="1" si="2"/>
        <v>45800</v>
      </c>
      <c r="J27" s="32"/>
      <c r="K27" s="32"/>
      <c r="X27" s="29"/>
    </row>
    <row r="28" spans="1:26" x14ac:dyDescent="0.4">
      <c r="A28" s="16">
        <f ca="1">合計!$A28</f>
        <v>45801</v>
      </c>
      <c r="B28" s="17" t="str">
        <f t="shared" si="3"/>
        <v/>
      </c>
      <c r="C28" s="17">
        <f t="shared" si="4"/>
        <v>0</v>
      </c>
      <c r="D28" s="17">
        <f t="shared" si="5"/>
        <v>0</v>
      </c>
      <c r="E28" s="17" t="str">
        <f t="shared" si="6"/>
        <v/>
      </c>
      <c r="F28" s="15">
        <f t="shared" si="0"/>
        <v>0</v>
      </c>
      <c r="G28" s="18" t="e">
        <f t="shared" si="1"/>
        <v>#DIV/0!</v>
      </c>
      <c r="I28" s="29">
        <f t="shared" ca="1" si="2"/>
        <v>45801</v>
      </c>
      <c r="J28" s="32"/>
      <c r="K28" s="32"/>
      <c r="X28" s="29"/>
    </row>
    <row r="29" spans="1:26" x14ac:dyDescent="0.4">
      <c r="A29" s="16">
        <f ca="1">合計!$A29</f>
        <v>45802</v>
      </c>
      <c r="B29" s="17" t="str">
        <f t="shared" si="3"/>
        <v/>
      </c>
      <c r="C29" s="17">
        <f t="shared" si="4"/>
        <v>0</v>
      </c>
      <c r="D29" s="17">
        <f t="shared" si="5"/>
        <v>0</v>
      </c>
      <c r="E29" s="17" t="str">
        <f t="shared" si="6"/>
        <v/>
      </c>
      <c r="F29" s="15">
        <f t="shared" si="0"/>
        <v>0</v>
      </c>
      <c r="G29" s="18" t="e">
        <f t="shared" si="1"/>
        <v>#DIV/0!</v>
      </c>
      <c r="I29" s="29">
        <f t="shared" ca="1" si="2"/>
        <v>45802</v>
      </c>
      <c r="J29" s="31"/>
      <c r="K29" s="31"/>
      <c r="X29" s="29"/>
    </row>
    <row r="30" spans="1:26" x14ac:dyDescent="0.4">
      <c r="A30" s="16">
        <f ca="1">合計!$A30</f>
        <v>45803</v>
      </c>
      <c r="B30" s="17" t="str">
        <f t="shared" si="3"/>
        <v/>
      </c>
      <c r="C30" s="17">
        <f t="shared" si="4"/>
        <v>0</v>
      </c>
      <c r="D30" s="17">
        <f t="shared" si="5"/>
        <v>0</v>
      </c>
      <c r="E30" s="17" t="str">
        <f t="shared" si="6"/>
        <v/>
      </c>
      <c r="F30" s="15">
        <f t="shared" si="0"/>
        <v>0</v>
      </c>
      <c r="G30" s="18" t="e">
        <f t="shared" si="1"/>
        <v>#DIV/0!</v>
      </c>
      <c r="I30" s="29">
        <f t="shared" ca="1" si="2"/>
        <v>45803</v>
      </c>
      <c r="J30" s="31"/>
      <c r="K30" s="31"/>
      <c r="X30" s="29"/>
    </row>
    <row r="31" spans="1:26" x14ac:dyDescent="0.4">
      <c r="A31" s="16">
        <f ca="1">合計!$A31</f>
        <v>45804</v>
      </c>
      <c r="B31" s="17" t="str">
        <f t="shared" si="3"/>
        <v/>
      </c>
      <c r="C31" s="17">
        <f t="shared" si="4"/>
        <v>0</v>
      </c>
      <c r="D31" s="17">
        <f t="shared" si="5"/>
        <v>0</v>
      </c>
      <c r="E31" s="17" t="str">
        <f t="shared" si="6"/>
        <v/>
      </c>
      <c r="F31" s="15">
        <f t="shared" si="0"/>
        <v>0</v>
      </c>
      <c r="G31" s="18" t="e">
        <f t="shared" si="1"/>
        <v>#DIV/0!</v>
      </c>
      <c r="I31" s="29">
        <f t="shared" ca="1" si="2"/>
        <v>45804</v>
      </c>
      <c r="J31" s="32"/>
      <c r="K31" s="32"/>
      <c r="X31" s="29"/>
    </row>
    <row r="32" spans="1:26" x14ac:dyDescent="0.4">
      <c r="A32" s="16">
        <f ca="1">合計!$A32</f>
        <v>45805</v>
      </c>
      <c r="B32" s="17" t="str">
        <f t="shared" si="3"/>
        <v/>
      </c>
      <c r="C32" s="17">
        <f t="shared" si="4"/>
        <v>0</v>
      </c>
      <c r="D32" s="17">
        <f t="shared" si="5"/>
        <v>0</v>
      </c>
      <c r="E32" s="17" t="str">
        <f t="shared" si="6"/>
        <v/>
      </c>
      <c r="F32" s="15">
        <f t="shared" si="0"/>
        <v>0</v>
      </c>
      <c r="G32" s="18" t="e">
        <f t="shared" si="1"/>
        <v>#DIV/0!</v>
      </c>
      <c r="I32" s="29">
        <f t="shared" ca="1" si="2"/>
        <v>45805</v>
      </c>
      <c r="J32" s="32"/>
      <c r="K32" s="32"/>
      <c r="X32" s="29"/>
    </row>
    <row r="33" spans="1:24" x14ac:dyDescent="0.4">
      <c r="A33" s="16">
        <f ca="1">合計!$A33</f>
        <v>45806</v>
      </c>
      <c r="B33" s="17" t="str">
        <f t="shared" si="3"/>
        <v/>
      </c>
      <c r="C33" s="17">
        <f t="shared" si="4"/>
        <v>0</v>
      </c>
      <c r="D33" s="17">
        <f t="shared" si="5"/>
        <v>0</v>
      </c>
      <c r="E33" s="17" t="str">
        <f t="shared" si="6"/>
        <v/>
      </c>
      <c r="F33" s="15">
        <f t="shared" si="0"/>
        <v>0</v>
      </c>
      <c r="G33" s="18" t="e">
        <f t="shared" si="1"/>
        <v>#DIV/0!</v>
      </c>
      <c r="I33" s="29">
        <f t="shared" ca="1" si="2"/>
        <v>45806</v>
      </c>
      <c r="J33" s="32"/>
      <c r="K33" s="31"/>
      <c r="X33" s="29"/>
    </row>
    <row r="34" spans="1:24" x14ac:dyDescent="0.4">
      <c r="A34" s="16">
        <f ca="1">合計!$A34</f>
        <v>45807</v>
      </c>
      <c r="B34" s="17" t="str">
        <f t="shared" si="3"/>
        <v/>
      </c>
      <c r="C34" s="17">
        <f t="shared" si="4"/>
        <v>0</v>
      </c>
      <c r="D34" s="17">
        <f t="shared" si="5"/>
        <v>0</v>
      </c>
      <c r="E34" s="17" t="str">
        <f t="shared" si="6"/>
        <v/>
      </c>
      <c r="F34" s="15">
        <f t="shared" si="0"/>
        <v>0</v>
      </c>
      <c r="G34" s="18" t="e">
        <f t="shared" si="1"/>
        <v>#DIV/0!</v>
      </c>
      <c r="I34" s="29">
        <f t="shared" ca="1" si="2"/>
        <v>45807</v>
      </c>
      <c r="J34" s="32"/>
      <c r="K34" s="32"/>
      <c r="X34" s="29"/>
    </row>
    <row r="35" spans="1:24" x14ac:dyDescent="0.4">
      <c r="A35" s="16">
        <f ca="1">合計!$A35</f>
        <v>45808</v>
      </c>
      <c r="B35" s="17" t="str">
        <f t="shared" si="3"/>
        <v/>
      </c>
      <c r="C35" s="17">
        <f t="shared" si="4"/>
        <v>0</v>
      </c>
      <c r="D35" s="17">
        <f t="shared" si="5"/>
        <v>0</v>
      </c>
      <c r="E35" s="17" t="str">
        <f t="shared" si="6"/>
        <v/>
      </c>
      <c r="F35" s="15">
        <f t="shared" si="0"/>
        <v>0</v>
      </c>
      <c r="G35" s="18" t="e">
        <f t="shared" si="1"/>
        <v>#DIV/0!</v>
      </c>
      <c r="I35" s="29">
        <f t="shared" ca="1" si="2"/>
        <v>45808</v>
      </c>
      <c r="J35" s="31"/>
      <c r="K35" s="31"/>
      <c r="X35" s="29"/>
    </row>
    <row r="36" spans="1:24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 t="shared" si="0"/>
        <v>0</v>
      </c>
      <c r="G36" s="18" t="e">
        <f t="shared" si="1"/>
        <v>#DIV/0!</v>
      </c>
    </row>
    <row r="611" spans="10:11" x14ac:dyDescent="0.4">
      <c r="J611">
        <v>525</v>
      </c>
      <c r="K611">
        <v>420</v>
      </c>
    </row>
    <row r="705" spans="10:11" x14ac:dyDescent="0.4">
      <c r="J705">
        <v>0</v>
      </c>
      <c r="K705">
        <v>0</v>
      </c>
    </row>
    <row r="813" spans="10:11" x14ac:dyDescent="0.4">
      <c r="J813">
        <v>861</v>
      </c>
      <c r="K813">
        <v>688.8</v>
      </c>
    </row>
  </sheetData>
  <mergeCells count="1">
    <mergeCell ref="B2:G3"/>
  </mergeCells>
  <phoneticPr fontId="3"/>
  <conditionalFormatting sqref="A5:A35">
    <cfRule type="expression" dxfId="19" priority="1">
      <formula>WEEKDAY(A5)=7</formula>
    </cfRule>
    <cfRule type="expression" dxfId="18" priority="2">
      <formula>WEEKDAY(A5)=1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</sheetPr>
  <dimension ref="A1:X813"/>
  <sheetViews>
    <sheetView workbookViewId="0">
      <selection activeCell="O24" sqref="O24"/>
    </sheetView>
  </sheetViews>
  <sheetFormatPr defaultRowHeight="18.75" x14ac:dyDescent="0.4"/>
  <cols>
    <col min="1" max="1" width="10.5" bestFit="1" customWidth="1"/>
  </cols>
  <sheetData>
    <row r="1" spans="1:22" x14ac:dyDescent="0.4">
      <c r="A1">
        <v>6626</v>
      </c>
    </row>
    <row r="2" spans="1:22" ht="13.5" customHeight="1" x14ac:dyDescent="0.4">
      <c r="A2" s="2"/>
      <c r="B2" s="126" t="s">
        <v>32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 t="shared" ref="F5:F35" si="4">D5-C5</f>
        <v>0</v>
      </c>
      <c r="G5" s="18" t="e">
        <f t="shared" ref="G5:G36" si="5">D5/C5</f>
        <v>#DIV/0!</v>
      </c>
      <c r="I5" s="29">
        <f t="shared" ref="I5:I35" ca="1" si="6">A5</f>
        <v>45778</v>
      </c>
      <c r="J5" s="34"/>
      <c r="K5" s="34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si="4"/>
        <v>0</v>
      </c>
      <c r="G6" s="18" t="e">
        <f t="shared" si="5"/>
        <v>#DIV/0!</v>
      </c>
      <c r="I6" s="29">
        <f t="shared" ca="1" si="6"/>
        <v>45779</v>
      </c>
      <c r="J6" s="34"/>
      <c r="K6" s="34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4"/>
        <v>0</v>
      </c>
      <c r="G7" s="18" t="e">
        <f t="shared" si="5"/>
        <v>#DIV/0!</v>
      </c>
      <c r="I7" s="29">
        <f t="shared" ca="1" si="6"/>
        <v>45780</v>
      </c>
      <c r="J7" s="34"/>
      <c r="K7" s="34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4"/>
        <v>0</v>
      </c>
      <c r="G8" s="18" t="e">
        <f t="shared" si="5"/>
        <v>#DIV/0!</v>
      </c>
      <c r="I8" s="29">
        <f t="shared" ca="1" si="6"/>
        <v>45781</v>
      </c>
      <c r="J8" s="31"/>
      <c r="K8" s="31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4"/>
        <v>0</v>
      </c>
      <c r="G9" s="18" t="e">
        <f t="shared" si="5"/>
        <v>#DIV/0!</v>
      </c>
      <c r="I9" s="29">
        <f t="shared" ca="1" si="6"/>
        <v>45782</v>
      </c>
      <c r="J9" s="32"/>
      <c r="K9" s="32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4"/>
        <v>0</v>
      </c>
      <c r="G10" s="18" t="e">
        <f t="shared" si="5"/>
        <v>#DIV/0!</v>
      </c>
      <c r="I10" s="29">
        <f t="shared" ca="1" si="6"/>
        <v>45783</v>
      </c>
      <c r="J10" s="32"/>
      <c r="K10" s="32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4"/>
        <v>0</v>
      </c>
      <c r="G11" s="18" t="e">
        <f t="shared" si="5"/>
        <v>#DIV/0!</v>
      </c>
      <c r="I11" s="29">
        <f t="shared" ca="1" si="6"/>
        <v>45784</v>
      </c>
      <c r="J11" s="32"/>
      <c r="K11" s="32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4"/>
        <v>0</v>
      </c>
      <c r="G12" s="18" t="e">
        <f t="shared" si="5"/>
        <v>#DIV/0!</v>
      </c>
      <c r="I12" s="29">
        <f t="shared" ca="1" si="6"/>
        <v>45785</v>
      </c>
      <c r="J12" s="32"/>
      <c r="K12" s="32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4"/>
        <v>0</v>
      </c>
      <c r="G13" s="18" t="e">
        <f t="shared" si="5"/>
        <v>#DIV/0!</v>
      </c>
      <c r="I13" s="29">
        <f t="shared" ca="1" si="6"/>
        <v>45786</v>
      </c>
      <c r="J13" s="34"/>
      <c r="K13" s="34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4"/>
        <v>0</v>
      </c>
      <c r="G14" s="18" t="e">
        <f t="shared" si="5"/>
        <v>#DIV/0!</v>
      </c>
      <c r="I14" s="29">
        <f t="shared" ca="1" si="6"/>
        <v>45787</v>
      </c>
      <c r="J14" s="34"/>
      <c r="K14" s="34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4"/>
        <v>0</v>
      </c>
      <c r="G15" s="18" t="e">
        <f t="shared" si="5"/>
        <v>#DIV/0!</v>
      </c>
      <c r="I15" s="29">
        <f t="shared" ca="1" si="6"/>
        <v>45788</v>
      </c>
      <c r="J15" s="32"/>
      <c r="K15" s="32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4"/>
        <v>0</v>
      </c>
      <c r="G16" s="18" t="e">
        <f t="shared" si="5"/>
        <v>#DIV/0!</v>
      </c>
      <c r="I16" s="29">
        <f t="shared" ca="1" si="6"/>
        <v>45789</v>
      </c>
      <c r="J16" s="31"/>
      <c r="K16" s="31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4"/>
        <v>0</v>
      </c>
      <c r="G17" s="18" t="e">
        <f t="shared" si="5"/>
        <v>#DIV/0!</v>
      </c>
      <c r="I17" s="29">
        <f t="shared" ca="1" si="6"/>
        <v>45790</v>
      </c>
      <c r="J17" s="32"/>
      <c r="K17" s="32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4"/>
        <v>0</v>
      </c>
      <c r="G18" s="18" t="e">
        <f t="shared" si="5"/>
        <v>#DIV/0!</v>
      </c>
      <c r="I18" s="29">
        <f t="shared" ca="1" si="6"/>
        <v>45791</v>
      </c>
      <c r="J18" s="32"/>
      <c r="K18" s="32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4"/>
        <v>0</v>
      </c>
      <c r="G19" s="18" t="e">
        <f t="shared" si="5"/>
        <v>#DIV/0!</v>
      </c>
      <c r="I19" s="29">
        <f t="shared" ca="1" si="6"/>
        <v>45792</v>
      </c>
      <c r="J19" s="32"/>
      <c r="K19" s="34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4"/>
        <v>0</v>
      </c>
      <c r="G20" s="18" t="e">
        <f t="shared" si="5"/>
        <v>#DIV/0!</v>
      </c>
      <c r="I20" s="29">
        <f t="shared" ca="1" si="6"/>
        <v>45793</v>
      </c>
      <c r="J20" s="32"/>
      <c r="K20" s="34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4"/>
        <v>0</v>
      </c>
      <c r="G21" s="18" t="e">
        <f t="shared" si="5"/>
        <v>#DIV/0!</v>
      </c>
      <c r="I21" s="29">
        <f t="shared" ca="1" si="6"/>
        <v>45794</v>
      </c>
      <c r="J21" s="34"/>
      <c r="K21" s="34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4"/>
        <v>0</v>
      </c>
      <c r="G22" s="18" t="e">
        <f t="shared" si="5"/>
        <v>#DIV/0!</v>
      </c>
      <c r="I22" s="29">
        <f t="shared" ca="1" si="6"/>
        <v>45795</v>
      </c>
      <c r="J22" s="34"/>
      <c r="K22" s="34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4"/>
        <v>0</v>
      </c>
      <c r="G23" s="18" t="e">
        <f t="shared" si="5"/>
        <v>#DIV/0!</v>
      </c>
      <c r="I23" s="29">
        <f t="shared" ca="1" si="6"/>
        <v>45796</v>
      </c>
      <c r="J23" s="31"/>
      <c r="K23" s="31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4"/>
        <v>0</v>
      </c>
      <c r="G24" s="18" t="e">
        <f t="shared" si="5"/>
        <v>#DIV/0!</v>
      </c>
      <c r="I24" s="29">
        <f t="shared" ca="1" si="6"/>
        <v>45797</v>
      </c>
      <c r="J24" s="32"/>
      <c r="K24" s="32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4"/>
        <v>0</v>
      </c>
      <c r="G25" s="18" t="e">
        <f t="shared" si="5"/>
        <v>#DIV/0!</v>
      </c>
      <c r="I25" s="29">
        <f t="shared" ca="1" si="6"/>
        <v>45798</v>
      </c>
      <c r="J25" s="31"/>
      <c r="K25" s="31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4"/>
        <v>0</v>
      </c>
      <c r="G26" s="18" t="e">
        <f t="shared" si="5"/>
        <v>#DIV/0!</v>
      </c>
      <c r="I26" s="29">
        <f t="shared" ca="1" si="6"/>
        <v>45799</v>
      </c>
      <c r="J26" s="31"/>
      <c r="K26" s="31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4"/>
        <v>0</v>
      </c>
      <c r="G27" s="18" t="e">
        <f t="shared" si="5"/>
        <v>#DIV/0!</v>
      </c>
      <c r="I27" s="29">
        <f t="shared" ca="1" si="6"/>
        <v>45800</v>
      </c>
      <c r="J27" s="31"/>
      <c r="K27" s="31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4"/>
        <v>0</v>
      </c>
      <c r="G28" s="18" t="e">
        <f t="shared" si="5"/>
        <v>#DIV/0!</v>
      </c>
      <c r="I28" s="29">
        <f t="shared" ca="1" si="6"/>
        <v>45801</v>
      </c>
      <c r="J28" s="32"/>
      <c r="K28" s="32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4"/>
        <v>0</v>
      </c>
      <c r="G29" s="18" t="e">
        <f t="shared" si="5"/>
        <v>#DIV/0!</v>
      </c>
      <c r="I29" s="29">
        <f t="shared" ca="1" si="6"/>
        <v>45802</v>
      </c>
      <c r="J29" s="34"/>
      <c r="K29" s="34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4"/>
        <v>0</v>
      </c>
      <c r="G30" s="18" t="e">
        <f t="shared" si="5"/>
        <v>#DIV/0!</v>
      </c>
      <c r="I30" s="29">
        <f t="shared" ca="1" si="6"/>
        <v>45803</v>
      </c>
      <c r="J30" s="31"/>
      <c r="K30" s="31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4"/>
        <v>0</v>
      </c>
      <c r="G31" s="18" t="e">
        <f t="shared" si="5"/>
        <v>#DIV/0!</v>
      </c>
      <c r="I31" s="29">
        <f t="shared" ca="1" si="6"/>
        <v>45804</v>
      </c>
      <c r="J31" s="34"/>
      <c r="K31" s="34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4"/>
        <v>0</v>
      </c>
      <c r="G32" s="18" t="e">
        <f t="shared" si="5"/>
        <v>#DIV/0!</v>
      </c>
      <c r="I32" s="29">
        <f t="shared" ca="1" si="6"/>
        <v>45805</v>
      </c>
      <c r="J32" s="32"/>
      <c r="K32" s="32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4"/>
        <v>0</v>
      </c>
      <c r="G33" s="18" t="e">
        <f t="shared" si="5"/>
        <v>#DIV/0!</v>
      </c>
      <c r="I33" s="29">
        <f t="shared" ca="1" si="6"/>
        <v>45806</v>
      </c>
      <c r="J33" s="32"/>
      <c r="K33" s="32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4"/>
        <v>0</v>
      </c>
      <c r="G34" s="18" t="e">
        <f t="shared" si="5"/>
        <v>#DIV/0!</v>
      </c>
      <c r="I34" s="29">
        <f t="shared" ca="1" si="6"/>
        <v>45807</v>
      </c>
      <c r="J34" s="32"/>
      <c r="K34" s="32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4"/>
        <v>0</v>
      </c>
      <c r="G35" s="18" t="e">
        <f t="shared" si="5"/>
        <v>#DIV/0!</v>
      </c>
      <c r="I35" s="29">
        <f t="shared" ca="1" si="6"/>
        <v>45808</v>
      </c>
      <c r="J35" s="31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5"/>
        <v>#DIV/0!</v>
      </c>
    </row>
    <row r="611" spans="10:11" x14ac:dyDescent="0.4">
      <c r="J611">
        <v>7235</v>
      </c>
      <c r="K611">
        <v>6350.79</v>
      </c>
    </row>
    <row r="705" spans="10:11" x14ac:dyDescent="0.4">
      <c r="J705">
        <v>40867</v>
      </c>
      <c r="K705">
        <v>31548.274599999899</v>
      </c>
    </row>
    <row r="813" spans="10:11" x14ac:dyDescent="0.4">
      <c r="J813">
        <v>38556</v>
      </c>
      <c r="K813">
        <v>19312.394100000001</v>
      </c>
    </row>
  </sheetData>
  <mergeCells count="1">
    <mergeCell ref="B2:G3"/>
  </mergeCells>
  <phoneticPr fontId="3"/>
  <conditionalFormatting sqref="A5:A35">
    <cfRule type="expression" dxfId="17" priority="1">
      <formula>WEEKDAY(A5)=7</formula>
    </cfRule>
    <cfRule type="expression" dxfId="16" priority="2">
      <formula>WEEKDAY(A5)=1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0000"/>
  </sheetPr>
  <dimension ref="A1:X813"/>
  <sheetViews>
    <sheetView workbookViewId="0">
      <selection activeCell="B6" sqref="B6"/>
    </sheetView>
  </sheetViews>
  <sheetFormatPr defaultRowHeight="18.75" x14ac:dyDescent="0.4"/>
  <cols>
    <col min="1" max="1" width="10.5" bestFit="1" customWidth="1"/>
  </cols>
  <sheetData>
    <row r="1" spans="1:22" x14ac:dyDescent="0.4">
      <c r="A1">
        <v>804</v>
      </c>
    </row>
    <row r="2" spans="1:22" ht="13.5" customHeight="1" x14ac:dyDescent="0.4">
      <c r="A2" s="2"/>
      <c r="B2" s="126" t="s">
        <v>33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 t="shared" ref="F5:F35" si="4">D5-C5</f>
        <v>0</v>
      </c>
      <c r="G5" s="18" t="e">
        <f t="shared" ref="G5:G36" si="5">D5/C5</f>
        <v>#DIV/0!</v>
      </c>
      <c r="I5" s="29">
        <f t="shared" ref="I5:I35" ca="1" si="6">A5</f>
        <v>45778</v>
      </c>
      <c r="J5" s="34"/>
      <c r="K5" s="34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si="4"/>
        <v>0</v>
      </c>
      <c r="G6" s="18" t="e">
        <f t="shared" si="5"/>
        <v>#DIV/0!</v>
      </c>
      <c r="I6" s="29">
        <f t="shared" ca="1" si="6"/>
        <v>45779</v>
      </c>
      <c r="J6" s="34"/>
      <c r="K6" s="34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4"/>
        <v>0</v>
      </c>
      <c r="G7" s="18" t="e">
        <f t="shared" si="5"/>
        <v>#DIV/0!</v>
      </c>
      <c r="I7" s="29">
        <f t="shared" ca="1" si="6"/>
        <v>45780</v>
      </c>
      <c r="J7" s="34"/>
      <c r="K7" s="34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4"/>
        <v>0</v>
      </c>
      <c r="G8" s="18" t="e">
        <f t="shared" si="5"/>
        <v>#DIV/0!</v>
      </c>
      <c r="I8" s="29">
        <f t="shared" ca="1" si="6"/>
        <v>45781</v>
      </c>
      <c r="J8" s="32"/>
      <c r="K8" s="32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4"/>
        <v>0</v>
      </c>
      <c r="G9" s="18" t="e">
        <f t="shared" si="5"/>
        <v>#DIV/0!</v>
      </c>
      <c r="I9" s="29">
        <f t="shared" ca="1" si="6"/>
        <v>45782</v>
      </c>
      <c r="J9" s="32"/>
      <c r="K9" s="32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4"/>
        <v>0</v>
      </c>
      <c r="G10" s="18" t="e">
        <f t="shared" si="5"/>
        <v>#DIV/0!</v>
      </c>
      <c r="I10" s="29">
        <f t="shared" ca="1" si="6"/>
        <v>45783</v>
      </c>
      <c r="J10" s="32"/>
      <c r="K10" s="32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4"/>
        <v>0</v>
      </c>
      <c r="G11" s="18" t="e">
        <f t="shared" si="5"/>
        <v>#DIV/0!</v>
      </c>
      <c r="I11" s="29">
        <f t="shared" ca="1" si="6"/>
        <v>45784</v>
      </c>
      <c r="J11" s="32"/>
      <c r="K11" s="32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4"/>
        <v>0</v>
      </c>
      <c r="G12" s="18" t="e">
        <f t="shared" si="5"/>
        <v>#DIV/0!</v>
      </c>
      <c r="I12" s="29">
        <f t="shared" ca="1" si="6"/>
        <v>45785</v>
      </c>
      <c r="J12" s="32"/>
      <c r="K12" s="32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4"/>
        <v>0</v>
      </c>
      <c r="G13" s="18" t="e">
        <f t="shared" si="5"/>
        <v>#DIV/0!</v>
      </c>
      <c r="I13" s="29">
        <f t="shared" ca="1" si="6"/>
        <v>45786</v>
      </c>
      <c r="J13" s="31"/>
      <c r="K13" s="31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4"/>
        <v>0</v>
      </c>
      <c r="G14" s="18" t="e">
        <f t="shared" si="5"/>
        <v>#DIV/0!</v>
      </c>
      <c r="I14" s="29">
        <f t="shared" ca="1" si="6"/>
        <v>45787</v>
      </c>
      <c r="J14" s="34"/>
      <c r="K14" s="34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4"/>
        <v>0</v>
      </c>
      <c r="G15" s="18" t="e">
        <f t="shared" si="5"/>
        <v>#DIV/0!</v>
      </c>
      <c r="I15" s="29">
        <f t="shared" ca="1" si="6"/>
        <v>45788</v>
      </c>
      <c r="J15" s="32"/>
      <c r="K15" s="32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4"/>
        <v>0</v>
      </c>
      <c r="G16" s="18" t="e">
        <f t="shared" si="5"/>
        <v>#DIV/0!</v>
      </c>
      <c r="I16" s="29">
        <f t="shared" ca="1" si="6"/>
        <v>45789</v>
      </c>
      <c r="J16" s="32"/>
      <c r="K16" s="32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4"/>
        <v>0</v>
      </c>
      <c r="G17" s="18" t="e">
        <f t="shared" si="5"/>
        <v>#DIV/0!</v>
      </c>
      <c r="I17" s="29">
        <f t="shared" ca="1" si="6"/>
        <v>45790</v>
      </c>
      <c r="J17" s="32"/>
      <c r="K17" s="32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4"/>
        <v>0</v>
      </c>
      <c r="G18" s="18" t="e">
        <f t="shared" si="5"/>
        <v>#DIV/0!</v>
      </c>
      <c r="I18" s="29">
        <f t="shared" ca="1" si="6"/>
        <v>45791</v>
      </c>
      <c r="J18" s="32"/>
      <c r="K18" s="32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4"/>
        <v>0</v>
      </c>
      <c r="G19" s="18" t="e">
        <f t="shared" si="5"/>
        <v>#DIV/0!</v>
      </c>
      <c r="I19" s="29">
        <f t="shared" ca="1" si="6"/>
        <v>45792</v>
      </c>
      <c r="J19" s="32"/>
      <c r="K19" s="34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4"/>
        <v>0</v>
      </c>
      <c r="G20" s="18" t="e">
        <f t="shared" si="5"/>
        <v>#DIV/0!</v>
      </c>
      <c r="I20" s="29">
        <f t="shared" ca="1" si="6"/>
        <v>45793</v>
      </c>
      <c r="J20" s="32"/>
      <c r="K20" s="34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4"/>
        <v>0</v>
      </c>
      <c r="G21" s="18" t="e">
        <f t="shared" si="5"/>
        <v>#DIV/0!</v>
      </c>
      <c r="I21" s="29">
        <f t="shared" ca="1" si="6"/>
        <v>45794</v>
      </c>
      <c r="J21" s="32"/>
      <c r="K21" s="34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4"/>
        <v>0</v>
      </c>
      <c r="G22" s="18" t="e">
        <f t="shared" si="5"/>
        <v>#DIV/0!</v>
      </c>
      <c r="I22" s="29">
        <f t="shared" ca="1" si="6"/>
        <v>45795</v>
      </c>
      <c r="J22" s="34"/>
      <c r="K22" s="34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4"/>
        <v>0</v>
      </c>
      <c r="G23" s="18" t="e">
        <f t="shared" si="5"/>
        <v>#DIV/0!</v>
      </c>
      <c r="I23" s="29">
        <f t="shared" ca="1" si="6"/>
        <v>45796</v>
      </c>
      <c r="J23" s="32"/>
      <c r="K23" s="34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4"/>
        <v>0</v>
      </c>
      <c r="G24" s="18" t="e">
        <f t="shared" si="5"/>
        <v>#DIV/0!</v>
      </c>
      <c r="I24" s="29">
        <f t="shared" ca="1" si="6"/>
        <v>45797</v>
      </c>
      <c r="J24" s="32"/>
      <c r="K24" s="34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4"/>
        <v>0</v>
      </c>
      <c r="G25" s="18" t="e">
        <f t="shared" si="5"/>
        <v>#DIV/0!</v>
      </c>
      <c r="I25" s="29">
        <f t="shared" ca="1" si="6"/>
        <v>45798</v>
      </c>
      <c r="J25" s="32"/>
      <c r="K25" s="34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4"/>
        <v>0</v>
      </c>
      <c r="G26" s="18" t="e">
        <f t="shared" si="5"/>
        <v>#DIV/0!</v>
      </c>
      <c r="I26" s="29">
        <f t="shared" ca="1" si="6"/>
        <v>45799</v>
      </c>
      <c r="J26" s="32"/>
      <c r="K26" s="34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4"/>
        <v>0</v>
      </c>
      <c r="G27" s="18" t="e">
        <f t="shared" si="5"/>
        <v>#DIV/0!</v>
      </c>
      <c r="I27" s="29">
        <f t="shared" ca="1" si="6"/>
        <v>45800</v>
      </c>
      <c r="J27" s="32"/>
      <c r="K27" s="34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4"/>
        <v>0</v>
      </c>
      <c r="G28" s="18" t="e">
        <f t="shared" si="5"/>
        <v>#DIV/0!</v>
      </c>
      <c r="I28" s="29">
        <f t="shared" ca="1" si="6"/>
        <v>45801</v>
      </c>
      <c r="J28" s="32"/>
      <c r="K28" s="34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4"/>
        <v>0</v>
      </c>
      <c r="G29" s="18" t="e">
        <f t="shared" si="5"/>
        <v>#DIV/0!</v>
      </c>
      <c r="I29" s="29">
        <f t="shared" ca="1" si="6"/>
        <v>45802</v>
      </c>
      <c r="J29" s="34"/>
      <c r="K29" s="34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4"/>
        <v>0</v>
      </c>
      <c r="G30" s="18" t="e">
        <f t="shared" si="5"/>
        <v>#DIV/0!</v>
      </c>
      <c r="I30" s="29">
        <f t="shared" ca="1" si="6"/>
        <v>45803</v>
      </c>
      <c r="J30" s="32"/>
      <c r="K30" s="34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4"/>
        <v>0</v>
      </c>
      <c r="G31" s="18" t="e">
        <f t="shared" si="5"/>
        <v>#DIV/0!</v>
      </c>
      <c r="I31" s="29">
        <f t="shared" ca="1" si="6"/>
        <v>45804</v>
      </c>
      <c r="J31" s="34"/>
      <c r="K31" s="34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4"/>
        <v>0</v>
      </c>
      <c r="G32" s="18" t="e">
        <f t="shared" si="5"/>
        <v>#DIV/0!</v>
      </c>
      <c r="I32" s="29">
        <f t="shared" ca="1" si="6"/>
        <v>45805</v>
      </c>
      <c r="J32" s="32"/>
      <c r="K32" s="34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4"/>
        <v>0</v>
      </c>
      <c r="G33" s="18" t="e">
        <f t="shared" si="5"/>
        <v>#DIV/0!</v>
      </c>
      <c r="I33" s="29">
        <f t="shared" ca="1" si="6"/>
        <v>45806</v>
      </c>
      <c r="J33" s="32"/>
      <c r="K33" s="32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4"/>
        <v>0</v>
      </c>
      <c r="G34" s="18" t="e">
        <f t="shared" si="5"/>
        <v>#DIV/0!</v>
      </c>
      <c r="I34" s="29">
        <f t="shared" ca="1" si="6"/>
        <v>45807</v>
      </c>
      <c r="J34" s="32"/>
      <c r="K34" s="32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4"/>
        <v>0</v>
      </c>
      <c r="G35" s="18" t="e">
        <f t="shared" si="5"/>
        <v>#DIV/0!</v>
      </c>
      <c r="I35" s="29">
        <f t="shared" ca="1" si="6"/>
        <v>45808</v>
      </c>
      <c r="J35" s="31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5"/>
        <v>#DIV/0!</v>
      </c>
    </row>
    <row r="611" spans="10:11" x14ac:dyDescent="0.4">
      <c r="J611">
        <v>10361</v>
      </c>
      <c r="K611">
        <v>8882.2999999999993</v>
      </c>
    </row>
    <row r="705" spans="10:11" x14ac:dyDescent="0.4">
      <c r="J705">
        <v>45548</v>
      </c>
      <c r="K705">
        <v>23318.1370399999</v>
      </c>
    </row>
    <row r="813" spans="10:11" x14ac:dyDescent="0.4">
      <c r="J813">
        <v>5486</v>
      </c>
      <c r="K813">
        <v>4068</v>
      </c>
    </row>
  </sheetData>
  <mergeCells count="1">
    <mergeCell ref="B2:G3"/>
  </mergeCells>
  <phoneticPr fontId="3"/>
  <conditionalFormatting sqref="A5:A35">
    <cfRule type="expression" dxfId="15" priority="1">
      <formula>WEEKDAY(A5)=7</formula>
    </cfRule>
    <cfRule type="expression" dxfId="14" priority="2">
      <formula>WEEKDAY(A5)=1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1:X705"/>
  <sheetViews>
    <sheetView workbookViewId="0">
      <selection activeCell="B7" sqref="B7"/>
    </sheetView>
  </sheetViews>
  <sheetFormatPr defaultRowHeight="18.75" x14ac:dyDescent="0.4"/>
  <cols>
    <col min="1" max="1" width="10.5" bestFit="1" customWidth="1"/>
  </cols>
  <sheetData>
    <row r="1" spans="1:22" x14ac:dyDescent="0.4">
      <c r="A1" s="28">
        <v>432</v>
      </c>
    </row>
    <row r="2" spans="1:22" ht="13.5" customHeight="1" x14ac:dyDescent="0.4">
      <c r="A2" s="2"/>
      <c r="B2" s="126" t="s">
        <v>31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>IF(J5="","",J5+SUM(M5:N5))</f>
        <v/>
      </c>
      <c r="F5" s="15">
        <f t="shared" ref="F5:F35" si="3">D5-C5</f>
        <v>0</v>
      </c>
      <c r="G5" s="18" t="e">
        <f t="shared" ref="G5:G36" si="4">D5/C5</f>
        <v>#DIV/0!</v>
      </c>
      <c r="I5" s="29">
        <f t="shared" ref="I5:I35" ca="1" si="5">A5</f>
        <v>45778</v>
      </c>
      <c r="J5" s="34"/>
      <c r="K5" s="34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ref="E6:E35" si="6">IF(J6="","",J6+SUM(M6:N6))</f>
        <v/>
      </c>
      <c r="F6" s="15">
        <f t="shared" si="3"/>
        <v>0</v>
      </c>
      <c r="G6" s="18" t="e">
        <f t="shared" si="4"/>
        <v>#DIV/0!</v>
      </c>
      <c r="I6" s="29">
        <f t="shared" ca="1" si="5"/>
        <v>45779</v>
      </c>
      <c r="J6" s="34"/>
      <c r="K6" s="34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6"/>
        <v/>
      </c>
      <c r="F7" s="15">
        <f t="shared" si="3"/>
        <v>0</v>
      </c>
      <c r="G7" s="18" t="e">
        <f t="shared" si="4"/>
        <v>#DIV/0!</v>
      </c>
      <c r="I7" s="29">
        <f t="shared" ca="1" si="5"/>
        <v>45780</v>
      </c>
      <c r="J7" s="34"/>
      <c r="K7" s="34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6"/>
        <v/>
      </c>
      <c r="F8" s="15">
        <f t="shared" si="3"/>
        <v>0</v>
      </c>
      <c r="G8" s="18" t="e">
        <f t="shared" si="4"/>
        <v>#DIV/0!</v>
      </c>
      <c r="I8" s="29">
        <f t="shared" ca="1" si="5"/>
        <v>45781</v>
      </c>
      <c r="J8" s="34"/>
      <c r="K8" s="34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6"/>
        <v/>
      </c>
      <c r="F9" s="15">
        <f t="shared" si="3"/>
        <v>0</v>
      </c>
      <c r="G9" s="18" t="e">
        <f t="shared" si="4"/>
        <v>#DIV/0!</v>
      </c>
      <c r="I9" s="29">
        <f t="shared" ca="1" si="5"/>
        <v>45782</v>
      </c>
      <c r="J9" s="34"/>
      <c r="K9" s="34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6"/>
        <v/>
      </c>
      <c r="F10" s="15">
        <f t="shared" si="3"/>
        <v>0</v>
      </c>
      <c r="G10" s="18" t="e">
        <f t="shared" si="4"/>
        <v>#DIV/0!</v>
      </c>
      <c r="I10" s="29">
        <f t="shared" ca="1" si="5"/>
        <v>45783</v>
      </c>
      <c r="J10" s="34"/>
      <c r="K10" s="34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6"/>
        <v/>
      </c>
      <c r="F11" s="15">
        <f t="shared" si="3"/>
        <v>0</v>
      </c>
      <c r="G11" s="18" t="e">
        <f t="shared" si="4"/>
        <v>#DIV/0!</v>
      </c>
      <c r="I11" s="29">
        <f t="shared" ca="1" si="5"/>
        <v>45784</v>
      </c>
      <c r="J11" s="34"/>
      <c r="K11" s="34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6"/>
        <v/>
      </c>
      <c r="F12" s="15">
        <f t="shared" si="3"/>
        <v>0</v>
      </c>
      <c r="G12" s="18" t="e">
        <f t="shared" si="4"/>
        <v>#DIV/0!</v>
      </c>
      <c r="I12" s="29">
        <f t="shared" ca="1" si="5"/>
        <v>45785</v>
      </c>
      <c r="J12" s="34"/>
      <c r="K12" s="34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6"/>
        <v/>
      </c>
      <c r="F13" s="15">
        <f t="shared" si="3"/>
        <v>0</v>
      </c>
      <c r="G13" s="18" t="e">
        <f t="shared" si="4"/>
        <v>#DIV/0!</v>
      </c>
      <c r="I13" s="29">
        <f t="shared" ca="1" si="5"/>
        <v>45786</v>
      </c>
      <c r="J13" s="34"/>
      <c r="K13" s="34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6"/>
        <v/>
      </c>
      <c r="F14" s="15">
        <f t="shared" si="3"/>
        <v>0</v>
      </c>
      <c r="G14" s="18" t="e">
        <f t="shared" si="4"/>
        <v>#DIV/0!</v>
      </c>
      <c r="I14" s="29">
        <f t="shared" ca="1" si="5"/>
        <v>45787</v>
      </c>
      <c r="J14" s="34"/>
      <c r="K14" s="34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6"/>
        <v/>
      </c>
      <c r="F15" s="15">
        <f t="shared" si="3"/>
        <v>0</v>
      </c>
      <c r="G15" s="18" t="e">
        <f t="shared" si="4"/>
        <v>#DIV/0!</v>
      </c>
      <c r="I15" s="29">
        <f t="shared" ca="1" si="5"/>
        <v>45788</v>
      </c>
      <c r="J15" s="32"/>
      <c r="K15" s="32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6"/>
        <v/>
      </c>
      <c r="F16" s="15">
        <f t="shared" si="3"/>
        <v>0</v>
      </c>
      <c r="G16" s="18" t="e">
        <f t="shared" si="4"/>
        <v>#DIV/0!</v>
      </c>
      <c r="I16" s="29">
        <f t="shared" ca="1" si="5"/>
        <v>45789</v>
      </c>
      <c r="J16" s="34"/>
      <c r="K16" s="34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6"/>
        <v/>
      </c>
      <c r="F17" s="15">
        <f t="shared" si="3"/>
        <v>0</v>
      </c>
      <c r="G17" s="18" t="e">
        <f t="shared" si="4"/>
        <v>#DIV/0!</v>
      </c>
      <c r="I17" s="29">
        <f t="shared" ca="1" si="5"/>
        <v>45790</v>
      </c>
      <c r="J17" s="34"/>
      <c r="K17" s="34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6"/>
        <v/>
      </c>
      <c r="F18" s="15">
        <f t="shared" si="3"/>
        <v>0</v>
      </c>
      <c r="G18" s="18" t="e">
        <f t="shared" si="4"/>
        <v>#DIV/0!</v>
      </c>
      <c r="I18" s="29">
        <f t="shared" ca="1" si="5"/>
        <v>45791</v>
      </c>
      <c r="J18" s="34"/>
      <c r="K18" s="34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6"/>
        <v/>
      </c>
      <c r="F19" s="15">
        <f t="shared" si="3"/>
        <v>0</v>
      </c>
      <c r="G19" s="18" t="e">
        <f t="shared" si="4"/>
        <v>#DIV/0!</v>
      </c>
      <c r="I19" s="29">
        <f t="shared" ca="1" si="5"/>
        <v>45792</v>
      </c>
      <c r="J19" s="34"/>
      <c r="K19" s="34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6"/>
        <v/>
      </c>
      <c r="F20" s="15">
        <f t="shared" si="3"/>
        <v>0</v>
      </c>
      <c r="G20" s="18" t="e">
        <f t="shared" si="4"/>
        <v>#DIV/0!</v>
      </c>
      <c r="I20" s="29">
        <f t="shared" ca="1" si="5"/>
        <v>45793</v>
      </c>
      <c r="J20" s="34"/>
      <c r="K20" s="34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6"/>
        <v/>
      </c>
      <c r="F21" s="15">
        <f t="shared" si="3"/>
        <v>0</v>
      </c>
      <c r="G21" s="18" t="e">
        <f t="shared" si="4"/>
        <v>#DIV/0!</v>
      </c>
      <c r="I21" s="29">
        <f t="shared" ca="1" si="5"/>
        <v>45794</v>
      </c>
      <c r="J21" s="34"/>
      <c r="K21" s="34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6"/>
        <v/>
      </c>
      <c r="F22" s="15">
        <f t="shared" si="3"/>
        <v>0</v>
      </c>
      <c r="G22" s="18" t="e">
        <f t="shared" si="4"/>
        <v>#DIV/0!</v>
      </c>
      <c r="I22" s="29">
        <f t="shared" ca="1" si="5"/>
        <v>45795</v>
      </c>
      <c r="J22" s="34"/>
      <c r="K22" s="34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6"/>
        <v/>
      </c>
      <c r="F23" s="15">
        <f t="shared" si="3"/>
        <v>0</v>
      </c>
      <c r="G23" s="18" t="e">
        <f t="shared" si="4"/>
        <v>#DIV/0!</v>
      </c>
      <c r="I23" s="29">
        <f t="shared" ca="1" si="5"/>
        <v>45796</v>
      </c>
      <c r="J23" s="34"/>
      <c r="K23" s="34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6"/>
        <v/>
      </c>
      <c r="F24" s="15">
        <f t="shared" si="3"/>
        <v>0</v>
      </c>
      <c r="G24" s="18" t="e">
        <f t="shared" si="4"/>
        <v>#DIV/0!</v>
      </c>
      <c r="I24" s="29">
        <f t="shared" ca="1" si="5"/>
        <v>45797</v>
      </c>
      <c r="J24" s="34"/>
      <c r="K24" s="34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>IF(J25="","",J25+SUM(M25:N25))</f>
        <v/>
      </c>
      <c r="F25" s="15">
        <f t="shared" si="3"/>
        <v>0</v>
      </c>
      <c r="G25" s="18" t="e">
        <f t="shared" si="4"/>
        <v>#DIV/0!</v>
      </c>
      <c r="I25" s="29">
        <f t="shared" ca="1" si="5"/>
        <v>45798</v>
      </c>
      <c r="J25" s="34"/>
      <c r="K25" s="34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6"/>
        <v/>
      </c>
      <c r="F26" s="15">
        <f t="shared" si="3"/>
        <v>0</v>
      </c>
      <c r="G26" s="18" t="e">
        <f t="shared" si="4"/>
        <v>#DIV/0!</v>
      </c>
      <c r="I26" s="29">
        <f t="shared" ca="1" si="5"/>
        <v>45799</v>
      </c>
      <c r="J26" s="34"/>
      <c r="K26" s="34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6"/>
        <v/>
      </c>
      <c r="F27" s="15">
        <f t="shared" si="3"/>
        <v>0</v>
      </c>
      <c r="G27" s="18" t="e">
        <f t="shared" si="4"/>
        <v>#DIV/0!</v>
      </c>
      <c r="I27" s="29">
        <f t="shared" ca="1" si="5"/>
        <v>45800</v>
      </c>
      <c r="J27" s="34"/>
      <c r="K27" s="34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6"/>
        <v/>
      </c>
      <c r="F28" s="15">
        <f t="shared" si="3"/>
        <v>0</v>
      </c>
      <c r="G28" s="18" t="e">
        <f t="shared" si="4"/>
        <v>#DIV/0!</v>
      </c>
      <c r="I28" s="29">
        <f t="shared" ca="1" si="5"/>
        <v>45801</v>
      </c>
      <c r="J28" s="32"/>
      <c r="K28" s="32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6"/>
        <v/>
      </c>
      <c r="F29" s="15">
        <f t="shared" si="3"/>
        <v>0</v>
      </c>
      <c r="G29" s="18" t="e">
        <f t="shared" si="4"/>
        <v>#DIV/0!</v>
      </c>
      <c r="I29" s="29">
        <f t="shared" ca="1" si="5"/>
        <v>45802</v>
      </c>
      <c r="J29" s="34"/>
      <c r="K29" s="34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6"/>
        <v/>
      </c>
      <c r="F30" s="15">
        <f t="shared" si="3"/>
        <v>0</v>
      </c>
      <c r="G30" s="18" t="e">
        <f t="shared" si="4"/>
        <v>#DIV/0!</v>
      </c>
      <c r="I30" s="29">
        <f t="shared" ca="1" si="5"/>
        <v>45803</v>
      </c>
      <c r="J30" s="34"/>
      <c r="K30" s="34"/>
      <c r="O30" s="36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6"/>
        <v/>
      </c>
      <c r="F31" s="15">
        <f t="shared" si="3"/>
        <v>0</v>
      </c>
      <c r="G31" s="18" t="e">
        <f t="shared" si="4"/>
        <v>#DIV/0!</v>
      </c>
      <c r="I31" s="29">
        <f t="shared" ca="1" si="5"/>
        <v>45804</v>
      </c>
      <c r="J31" s="34"/>
      <c r="K31" s="34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6"/>
        <v/>
      </c>
      <c r="F32" s="15">
        <f t="shared" si="3"/>
        <v>0</v>
      </c>
      <c r="G32" s="18" t="e">
        <f t="shared" si="4"/>
        <v>#DIV/0!</v>
      </c>
      <c r="I32" s="29">
        <f t="shared" ca="1" si="5"/>
        <v>45805</v>
      </c>
      <c r="J32" s="34"/>
      <c r="K32" s="34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6"/>
        <v/>
      </c>
      <c r="F33" s="15">
        <f t="shared" si="3"/>
        <v>0</v>
      </c>
      <c r="G33" s="18" t="e">
        <f t="shared" si="4"/>
        <v>#DIV/0!</v>
      </c>
      <c r="I33" s="29">
        <f t="shared" ca="1" si="5"/>
        <v>45806</v>
      </c>
      <c r="J33" s="34"/>
      <c r="K33" s="34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6"/>
        <v/>
      </c>
      <c r="F34" s="15">
        <f t="shared" si="3"/>
        <v>0</v>
      </c>
      <c r="G34" s="18" t="e">
        <f t="shared" si="4"/>
        <v>#DIV/0!</v>
      </c>
      <c r="I34" s="29">
        <f t="shared" ca="1" si="5"/>
        <v>45807</v>
      </c>
      <c r="J34" s="34"/>
      <c r="K34" s="34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6"/>
        <v/>
      </c>
      <c r="F35" s="15">
        <f t="shared" si="3"/>
        <v>0</v>
      </c>
      <c r="G35" s="18" t="e">
        <f t="shared" si="4"/>
        <v>#DIV/0!</v>
      </c>
      <c r="I35" s="29">
        <f t="shared" ca="1" si="5"/>
        <v>45808</v>
      </c>
      <c r="J35" s="34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4"/>
        <v>#DIV/0!</v>
      </c>
    </row>
    <row r="705" spans="10:11" x14ac:dyDescent="0.4">
      <c r="J705">
        <v>7491</v>
      </c>
      <c r="K705">
        <v>5618.25</v>
      </c>
    </row>
  </sheetData>
  <mergeCells count="1">
    <mergeCell ref="B2:G3"/>
  </mergeCells>
  <phoneticPr fontId="3"/>
  <conditionalFormatting sqref="A5:A35">
    <cfRule type="expression" dxfId="13" priority="1">
      <formula>WEEKDAY(A5)=7</formula>
    </cfRule>
    <cfRule type="expression" dxfId="12" priority="2">
      <formula>WEEKDAY(A5)=1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0000"/>
  </sheetPr>
  <dimension ref="A1:X813"/>
  <sheetViews>
    <sheetView workbookViewId="0">
      <selection activeCell="C6" sqref="C6"/>
    </sheetView>
  </sheetViews>
  <sheetFormatPr defaultRowHeight="18.75" x14ac:dyDescent="0.4"/>
  <cols>
    <col min="1" max="1" width="10.5" bestFit="1" customWidth="1"/>
  </cols>
  <sheetData>
    <row r="1" spans="1:22" x14ac:dyDescent="0.4">
      <c r="A1" s="28">
        <v>1797</v>
      </c>
    </row>
    <row r="2" spans="1:22" ht="13.5" customHeight="1" x14ac:dyDescent="0.4">
      <c r="A2" s="2"/>
      <c r="B2" s="126" t="s">
        <v>30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 t="shared" ref="F5:F35" si="4">D5-C5</f>
        <v>0</v>
      </c>
      <c r="G5" s="18" t="e">
        <f t="shared" ref="G5:G36" si="5">D5/C5</f>
        <v>#DIV/0!</v>
      </c>
      <c r="I5" s="29">
        <f t="shared" ref="I5:I35" ca="1" si="6">A5</f>
        <v>45778</v>
      </c>
      <c r="J5" s="34"/>
      <c r="K5" s="34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si="4"/>
        <v>0</v>
      </c>
      <c r="G6" s="18" t="e">
        <f t="shared" si="5"/>
        <v>#DIV/0!</v>
      </c>
      <c r="I6" s="29">
        <f t="shared" ca="1" si="6"/>
        <v>45779</v>
      </c>
      <c r="J6" s="34"/>
      <c r="K6" s="34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4"/>
        <v>0</v>
      </c>
      <c r="G7" s="18" t="e">
        <f t="shared" si="5"/>
        <v>#DIV/0!</v>
      </c>
      <c r="I7" s="29">
        <f t="shared" ca="1" si="6"/>
        <v>45780</v>
      </c>
      <c r="J7" s="34"/>
      <c r="K7" s="34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4"/>
        <v>0</v>
      </c>
      <c r="G8" s="18" t="e">
        <f t="shared" si="5"/>
        <v>#DIV/0!</v>
      </c>
      <c r="I8" s="29">
        <f t="shared" ca="1" si="6"/>
        <v>45781</v>
      </c>
      <c r="J8" s="31"/>
      <c r="K8" s="31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4"/>
        <v>0</v>
      </c>
      <c r="G9" s="18" t="e">
        <f t="shared" si="5"/>
        <v>#DIV/0!</v>
      </c>
      <c r="I9" s="29">
        <f t="shared" ca="1" si="6"/>
        <v>45782</v>
      </c>
      <c r="J9" s="32"/>
      <c r="K9" s="32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4"/>
        <v>0</v>
      </c>
      <c r="G10" s="18" t="e">
        <f t="shared" si="5"/>
        <v>#DIV/0!</v>
      </c>
      <c r="I10" s="29">
        <f t="shared" ca="1" si="6"/>
        <v>45783</v>
      </c>
      <c r="J10" s="32"/>
      <c r="K10" s="32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4"/>
        <v>0</v>
      </c>
      <c r="G11" s="18" t="e">
        <f t="shared" si="5"/>
        <v>#DIV/0!</v>
      </c>
      <c r="I11" s="29">
        <f t="shared" ca="1" si="6"/>
        <v>45784</v>
      </c>
      <c r="J11" s="32"/>
      <c r="K11" s="32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4"/>
        <v>0</v>
      </c>
      <c r="G12" s="18" t="e">
        <f t="shared" si="5"/>
        <v>#DIV/0!</v>
      </c>
      <c r="I12" s="29">
        <f t="shared" ca="1" si="6"/>
        <v>45785</v>
      </c>
      <c r="J12" s="32"/>
      <c r="K12" s="32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4"/>
        <v>0</v>
      </c>
      <c r="G13" s="18" t="e">
        <f t="shared" si="5"/>
        <v>#DIV/0!</v>
      </c>
      <c r="I13" s="29">
        <f t="shared" ca="1" si="6"/>
        <v>45786</v>
      </c>
      <c r="J13" s="32"/>
      <c r="K13" s="32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4"/>
        <v>0</v>
      </c>
      <c r="G14" s="18" t="e">
        <f t="shared" si="5"/>
        <v>#DIV/0!</v>
      </c>
      <c r="I14" s="29">
        <f t="shared" ca="1" si="6"/>
        <v>45787</v>
      </c>
      <c r="J14" s="34"/>
      <c r="K14" s="34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4"/>
        <v>0</v>
      </c>
      <c r="G15" s="18" t="e">
        <f t="shared" si="5"/>
        <v>#DIV/0!</v>
      </c>
      <c r="I15" s="29">
        <f t="shared" ca="1" si="6"/>
        <v>45788</v>
      </c>
      <c r="J15" s="34"/>
      <c r="K15" s="34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4"/>
        <v>0</v>
      </c>
      <c r="G16" s="18" t="e">
        <f t="shared" si="5"/>
        <v>#DIV/0!</v>
      </c>
      <c r="I16" s="29">
        <f t="shared" ca="1" si="6"/>
        <v>45789</v>
      </c>
      <c r="J16" s="32"/>
      <c r="K16" s="32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4"/>
        <v>0</v>
      </c>
      <c r="G17" s="18" t="e">
        <f t="shared" si="5"/>
        <v>#DIV/0!</v>
      </c>
      <c r="I17" s="29">
        <f t="shared" ca="1" si="6"/>
        <v>45790</v>
      </c>
      <c r="J17" s="32"/>
      <c r="K17" s="32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4"/>
        <v>0</v>
      </c>
      <c r="G18" s="18" t="e">
        <f t="shared" si="5"/>
        <v>#DIV/0!</v>
      </c>
      <c r="I18" s="29">
        <f t="shared" ca="1" si="6"/>
        <v>45791</v>
      </c>
      <c r="J18" s="32"/>
      <c r="K18" s="32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4"/>
        <v>0</v>
      </c>
      <c r="G19" s="18" t="e">
        <f t="shared" si="5"/>
        <v>#DIV/0!</v>
      </c>
      <c r="I19" s="29">
        <f t="shared" ca="1" si="6"/>
        <v>45792</v>
      </c>
      <c r="J19" s="32"/>
      <c r="K19" s="32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4"/>
        <v>0</v>
      </c>
      <c r="G20" s="18" t="e">
        <f t="shared" si="5"/>
        <v>#DIV/0!</v>
      </c>
      <c r="I20" s="29">
        <f t="shared" ca="1" si="6"/>
        <v>45793</v>
      </c>
      <c r="J20" s="32"/>
      <c r="K20" s="32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4"/>
        <v>0</v>
      </c>
      <c r="G21" s="18" t="e">
        <f t="shared" si="5"/>
        <v>#DIV/0!</v>
      </c>
      <c r="I21" s="29">
        <f t="shared" ca="1" si="6"/>
        <v>45794</v>
      </c>
      <c r="J21" s="31"/>
      <c r="K21" s="31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4"/>
        <v>0</v>
      </c>
      <c r="G22" s="18" t="e">
        <f t="shared" si="5"/>
        <v>#DIV/0!</v>
      </c>
      <c r="I22" s="29">
        <f t="shared" ca="1" si="6"/>
        <v>45795</v>
      </c>
      <c r="J22" s="34"/>
      <c r="K22" s="34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4"/>
        <v>0</v>
      </c>
      <c r="G23" s="18" t="e">
        <f t="shared" si="5"/>
        <v>#DIV/0!</v>
      </c>
      <c r="I23" s="29">
        <f t="shared" ca="1" si="6"/>
        <v>45796</v>
      </c>
      <c r="J23" s="31"/>
      <c r="K23" s="31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4"/>
        <v>0</v>
      </c>
      <c r="G24" s="18" t="e">
        <f t="shared" si="5"/>
        <v>#DIV/0!</v>
      </c>
      <c r="I24" s="29">
        <f t="shared" ca="1" si="6"/>
        <v>45797</v>
      </c>
      <c r="J24" s="32"/>
      <c r="K24" s="32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4"/>
        <v>0</v>
      </c>
      <c r="G25" s="18" t="e">
        <f t="shared" si="5"/>
        <v>#DIV/0!</v>
      </c>
      <c r="I25" s="29">
        <f t="shared" ca="1" si="6"/>
        <v>45798</v>
      </c>
      <c r="J25" s="31"/>
      <c r="K25" s="31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4"/>
        <v>0</v>
      </c>
      <c r="G26" s="18" t="e">
        <f t="shared" si="5"/>
        <v>#DIV/0!</v>
      </c>
      <c r="I26" s="29">
        <f t="shared" ca="1" si="6"/>
        <v>45799</v>
      </c>
      <c r="J26" s="31"/>
      <c r="K26" s="31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4"/>
        <v>0</v>
      </c>
      <c r="G27" s="18" t="e">
        <f t="shared" si="5"/>
        <v>#DIV/0!</v>
      </c>
      <c r="I27" s="29">
        <f t="shared" ca="1" si="6"/>
        <v>45800</v>
      </c>
      <c r="J27" s="32"/>
      <c r="K27" s="32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4"/>
        <v>0</v>
      </c>
      <c r="G28" s="18" t="e">
        <f t="shared" si="5"/>
        <v>#DIV/0!</v>
      </c>
      <c r="I28" s="29">
        <f t="shared" ca="1" si="6"/>
        <v>45801</v>
      </c>
      <c r="J28" s="31"/>
      <c r="K28" s="31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4"/>
        <v>0</v>
      </c>
      <c r="G29" s="18" t="e">
        <f t="shared" si="5"/>
        <v>#DIV/0!</v>
      </c>
      <c r="I29" s="29">
        <f t="shared" ca="1" si="6"/>
        <v>45802</v>
      </c>
      <c r="J29" s="34"/>
      <c r="K29" s="34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4"/>
        <v>0</v>
      </c>
      <c r="G30" s="18" t="e">
        <f t="shared" si="5"/>
        <v>#DIV/0!</v>
      </c>
      <c r="I30" s="29">
        <f t="shared" ca="1" si="6"/>
        <v>45803</v>
      </c>
      <c r="J30" s="31"/>
      <c r="K30" s="31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4"/>
        <v>0</v>
      </c>
      <c r="G31" s="18" t="e">
        <f t="shared" si="5"/>
        <v>#DIV/0!</v>
      </c>
      <c r="I31" s="29">
        <f t="shared" ca="1" si="6"/>
        <v>45804</v>
      </c>
      <c r="J31" s="32"/>
      <c r="K31" s="32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4"/>
        <v>0</v>
      </c>
      <c r="G32" s="18" t="e">
        <f t="shared" si="5"/>
        <v>#DIV/0!</v>
      </c>
      <c r="I32" s="29">
        <f t="shared" ca="1" si="6"/>
        <v>45805</v>
      </c>
      <c r="J32" s="32"/>
      <c r="K32" s="32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4"/>
        <v>0</v>
      </c>
      <c r="G33" s="18" t="e">
        <f t="shared" si="5"/>
        <v>#DIV/0!</v>
      </c>
      <c r="I33" s="29">
        <f t="shared" ca="1" si="6"/>
        <v>45806</v>
      </c>
      <c r="J33" s="32"/>
      <c r="K33" s="32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4"/>
        <v>0</v>
      </c>
      <c r="G34" s="18" t="e">
        <f t="shared" si="5"/>
        <v>#DIV/0!</v>
      </c>
      <c r="I34" s="29">
        <f t="shared" ca="1" si="6"/>
        <v>45807</v>
      </c>
      <c r="J34" s="32"/>
      <c r="K34" s="32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4"/>
        <v>0</v>
      </c>
      <c r="G35" s="18" t="e">
        <f t="shared" si="5"/>
        <v>#DIV/0!</v>
      </c>
      <c r="I35" s="29">
        <f t="shared" ca="1" si="6"/>
        <v>45808</v>
      </c>
      <c r="J35" s="31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5"/>
        <v>#DIV/0!</v>
      </c>
    </row>
    <row r="611" spans="10:11" x14ac:dyDescent="0.4">
      <c r="J611">
        <v>7235</v>
      </c>
      <c r="K611">
        <v>6350.79</v>
      </c>
    </row>
    <row r="705" spans="10:11" x14ac:dyDescent="0.4">
      <c r="J705">
        <v>26881</v>
      </c>
      <c r="K705">
        <v>23963.0671</v>
      </c>
    </row>
    <row r="813" spans="10:11" x14ac:dyDescent="0.4">
      <c r="J813">
        <v>14410</v>
      </c>
      <c r="K813">
        <v>6716.9089999999997</v>
      </c>
    </row>
  </sheetData>
  <mergeCells count="1">
    <mergeCell ref="B2:G3"/>
  </mergeCells>
  <phoneticPr fontId="3"/>
  <conditionalFormatting sqref="A5:A35">
    <cfRule type="expression" dxfId="11" priority="1">
      <formula>WEEKDAY(A5)=7</formula>
    </cfRule>
    <cfRule type="expression" dxfId="10" priority="2">
      <formula>WEEKDAY(A5)=1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0000"/>
  </sheetPr>
  <dimension ref="A1:X813"/>
  <sheetViews>
    <sheetView workbookViewId="0">
      <selection activeCell="S27" sqref="S27"/>
    </sheetView>
  </sheetViews>
  <sheetFormatPr defaultRowHeight="18.75" x14ac:dyDescent="0.4"/>
  <cols>
    <col min="1" max="1" width="10.5" bestFit="1" customWidth="1"/>
    <col min="10" max="10" width="9.5" bestFit="1" customWidth="1"/>
  </cols>
  <sheetData>
    <row r="1" spans="1:22" x14ac:dyDescent="0.4">
      <c r="A1">
        <v>2645</v>
      </c>
    </row>
    <row r="2" spans="1:22" ht="13.5" customHeight="1" x14ac:dyDescent="0.4">
      <c r="A2" s="2"/>
      <c r="B2" s="126" t="s">
        <v>107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 t="shared" ref="F5:F35" si="4">D5-C5</f>
        <v>0</v>
      </c>
      <c r="G5" s="18" t="e">
        <f t="shared" ref="G5:G36" si="5">D5/C5</f>
        <v>#DIV/0!</v>
      </c>
      <c r="I5" s="29">
        <f t="shared" ref="I5:I35" ca="1" si="6">A5</f>
        <v>45778</v>
      </c>
      <c r="J5" s="30"/>
      <c r="K5" s="30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si="4"/>
        <v>0</v>
      </c>
      <c r="G6" s="18" t="e">
        <f t="shared" si="5"/>
        <v>#DIV/0!</v>
      </c>
      <c r="I6" s="29">
        <f t="shared" ca="1" si="6"/>
        <v>45779</v>
      </c>
      <c r="J6" s="30"/>
      <c r="K6" s="30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4"/>
        <v>0</v>
      </c>
      <c r="G7" s="18" t="e">
        <f t="shared" si="5"/>
        <v>#DIV/0!</v>
      </c>
      <c r="I7" s="29">
        <f t="shared" ca="1" si="6"/>
        <v>45780</v>
      </c>
      <c r="J7" s="30"/>
      <c r="K7" s="30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4"/>
        <v>0</v>
      </c>
      <c r="G8" s="18" t="e">
        <f t="shared" si="5"/>
        <v>#DIV/0!</v>
      </c>
      <c r="I8" s="29">
        <f t="shared" ca="1" si="6"/>
        <v>45781</v>
      </c>
      <c r="J8" s="31"/>
      <c r="K8" s="31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4"/>
        <v>0</v>
      </c>
      <c r="G9" s="18" t="e">
        <f t="shared" si="5"/>
        <v>#DIV/0!</v>
      </c>
      <c r="I9" s="29">
        <f t="shared" ca="1" si="6"/>
        <v>45782</v>
      </c>
      <c r="J9" s="32"/>
      <c r="K9" s="32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4"/>
        <v>0</v>
      </c>
      <c r="G10" s="18" t="e">
        <f t="shared" si="5"/>
        <v>#DIV/0!</v>
      </c>
      <c r="I10" s="29">
        <f t="shared" ca="1" si="6"/>
        <v>45783</v>
      </c>
      <c r="J10" s="30"/>
      <c r="K10" s="30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4"/>
        <v>0</v>
      </c>
      <c r="G11" s="18" t="e">
        <f t="shared" si="5"/>
        <v>#DIV/0!</v>
      </c>
      <c r="I11" s="29">
        <f t="shared" ca="1" si="6"/>
        <v>45784</v>
      </c>
      <c r="J11" s="30"/>
      <c r="K11" s="30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4"/>
        <v>0</v>
      </c>
      <c r="G12" s="18" t="e">
        <f t="shared" si="5"/>
        <v>#DIV/0!</v>
      </c>
      <c r="I12" s="29">
        <f t="shared" ca="1" si="6"/>
        <v>45785</v>
      </c>
      <c r="J12" s="32"/>
      <c r="K12" s="32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4"/>
        <v>0</v>
      </c>
      <c r="G13" s="18" t="e">
        <f t="shared" si="5"/>
        <v>#DIV/0!</v>
      </c>
      <c r="I13" s="29">
        <f t="shared" ca="1" si="6"/>
        <v>45786</v>
      </c>
      <c r="J13" s="32"/>
      <c r="K13" s="32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4"/>
        <v>0</v>
      </c>
      <c r="G14" s="18" t="e">
        <f t="shared" si="5"/>
        <v>#DIV/0!</v>
      </c>
      <c r="I14" s="29">
        <f t="shared" ca="1" si="6"/>
        <v>45787</v>
      </c>
      <c r="J14" s="30"/>
      <c r="K14" s="30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4"/>
        <v>0</v>
      </c>
      <c r="G15" s="18" t="e">
        <f t="shared" si="5"/>
        <v>#DIV/0!</v>
      </c>
      <c r="I15" s="29">
        <f t="shared" ca="1" si="6"/>
        <v>45788</v>
      </c>
      <c r="J15" s="32"/>
      <c r="K15" s="32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4"/>
        <v>0</v>
      </c>
      <c r="G16" s="18" t="e">
        <f t="shared" si="5"/>
        <v>#DIV/0!</v>
      </c>
      <c r="I16" s="29">
        <f t="shared" ca="1" si="6"/>
        <v>45789</v>
      </c>
      <c r="J16" s="32"/>
      <c r="K16" s="32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4"/>
        <v>0</v>
      </c>
      <c r="G17" s="18" t="e">
        <f t="shared" si="5"/>
        <v>#DIV/0!</v>
      </c>
      <c r="I17" s="29">
        <f t="shared" ca="1" si="6"/>
        <v>45790</v>
      </c>
      <c r="J17" s="32"/>
      <c r="K17" s="32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4"/>
        <v>0</v>
      </c>
      <c r="G18" s="18" t="e">
        <f t="shared" si="5"/>
        <v>#DIV/0!</v>
      </c>
      <c r="I18" s="29">
        <f t="shared" ca="1" si="6"/>
        <v>45791</v>
      </c>
      <c r="J18" s="32"/>
      <c r="K18" s="32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4"/>
        <v>0</v>
      </c>
      <c r="G19" s="18" t="e">
        <f t="shared" si="5"/>
        <v>#DIV/0!</v>
      </c>
      <c r="I19" s="29">
        <f t="shared" ca="1" si="6"/>
        <v>45792</v>
      </c>
      <c r="J19" s="30"/>
      <c r="K19" s="30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4"/>
        <v>0</v>
      </c>
      <c r="G20" s="18" t="e">
        <f t="shared" si="5"/>
        <v>#DIV/0!</v>
      </c>
      <c r="I20" s="29">
        <f t="shared" ca="1" si="6"/>
        <v>45793</v>
      </c>
      <c r="J20" s="32"/>
      <c r="K20" s="32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4"/>
        <v>0</v>
      </c>
      <c r="G21" s="18" t="e">
        <f t="shared" si="5"/>
        <v>#DIV/0!</v>
      </c>
      <c r="I21" s="29">
        <f t="shared" ca="1" si="6"/>
        <v>45794</v>
      </c>
      <c r="J21" s="31"/>
      <c r="K21" s="31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4"/>
        <v>0</v>
      </c>
      <c r="G22" s="18" t="e">
        <f t="shared" si="5"/>
        <v>#DIV/0!</v>
      </c>
      <c r="I22" s="29">
        <f t="shared" ca="1" si="6"/>
        <v>45795</v>
      </c>
      <c r="J22" s="32"/>
      <c r="K22" s="32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4"/>
        <v>0</v>
      </c>
      <c r="G23" s="18" t="e">
        <f t="shared" si="5"/>
        <v>#DIV/0!</v>
      </c>
      <c r="I23" s="29">
        <f t="shared" ca="1" si="6"/>
        <v>45796</v>
      </c>
      <c r="J23" s="31"/>
      <c r="K23" s="31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4"/>
        <v>0</v>
      </c>
      <c r="G24" s="18" t="e">
        <f t="shared" si="5"/>
        <v>#DIV/0!</v>
      </c>
      <c r="I24" s="29">
        <f t="shared" ca="1" si="6"/>
        <v>45797</v>
      </c>
      <c r="J24" s="32"/>
      <c r="K24" s="32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4"/>
        <v>0</v>
      </c>
      <c r="G25" s="18" t="e">
        <f t="shared" si="5"/>
        <v>#DIV/0!</v>
      </c>
      <c r="I25" s="29">
        <f t="shared" ca="1" si="6"/>
        <v>45798</v>
      </c>
      <c r="J25" s="31"/>
      <c r="K25" s="31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4"/>
        <v>0</v>
      </c>
      <c r="G26" s="18" t="e">
        <f t="shared" si="5"/>
        <v>#DIV/0!</v>
      </c>
      <c r="I26" s="29">
        <f t="shared" ca="1" si="6"/>
        <v>45799</v>
      </c>
      <c r="J26" s="31"/>
      <c r="K26" s="31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4"/>
        <v>0</v>
      </c>
      <c r="G27" s="18" t="e">
        <f t="shared" si="5"/>
        <v>#DIV/0!</v>
      </c>
      <c r="I27" s="29">
        <f t="shared" ca="1" si="6"/>
        <v>45800</v>
      </c>
      <c r="J27" s="31"/>
      <c r="K27" s="31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4"/>
        <v>0</v>
      </c>
      <c r="G28" s="18" t="e">
        <f t="shared" si="5"/>
        <v>#DIV/0!</v>
      </c>
      <c r="I28" s="29">
        <f t="shared" ca="1" si="6"/>
        <v>45801</v>
      </c>
      <c r="J28" s="31"/>
      <c r="K28" s="31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4"/>
        <v>0</v>
      </c>
      <c r="G29" s="18" t="e">
        <f t="shared" si="5"/>
        <v>#DIV/0!</v>
      </c>
      <c r="I29" s="29">
        <f t="shared" ca="1" si="6"/>
        <v>45802</v>
      </c>
      <c r="J29" s="31"/>
      <c r="K29" s="31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4"/>
        <v>0</v>
      </c>
      <c r="G30" s="18" t="e">
        <f t="shared" si="5"/>
        <v>#DIV/0!</v>
      </c>
      <c r="I30" s="29">
        <f t="shared" ca="1" si="6"/>
        <v>45803</v>
      </c>
      <c r="J30" s="31"/>
      <c r="K30" s="31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4"/>
        <v>0</v>
      </c>
      <c r="G31" s="18" t="e">
        <f t="shared" si="5"/>
        <v>#DIV/0!</v>
      </c>
      <c r="I31" s="29">
        <f t="shared" ca="1" si="6"/>
        <v>45804</v>
      </c>
      <c r="J31" s="30"/>
      <c r="K31" s="30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4"/>
        <v>0</v>
      </c>
      <c r="G32" s="18" t="e">
        <f t="shared" si="5"/>
        <v>#DIV/0!</v>
      </c>
      <c r="I32" s="29">
        <f t="shared" ca="1" si="6"/>
        <v>45805</v>
      </c>
      <c r="J32" s="32"/>
      <c r="K32" s="32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4"/>
        <v>0</v>
      </c>
      <c r="G33" s="18" t="e">
        <f t="shared" si="5"/>
        <v>#DIV/0!</v>
      </c>
      <c r="I33" s="29">
        <f t="shared" ca="1" si="6"/>
        <v>45806</v>
      </c>
      <c r="J33" s="32"/>
      <c r="K33" s="32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4"/>
        <v>0</v>
      </c>
      <c r="G34" s="18" t="e">
        <f t="shared" si="5"/>
        <v>#DIV/0!</v>
      </c>
      <c r="I34" s="29">
        <f t="shared" ca="1" si="6"/>
        <v>45807</v>
      </c>
      <c r="J34" s="32"/>
      <c r="K34" s="32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4"/>
        <v>0</v>
      </c>
      <c r="G35" s="18" t="e">
        <f t="shared" si="5"/>
        <v>#DIV/0!</v>
      </c>
      <c r="I35" s="29">
        <f t="shared" ca="1" si="6"/>
        <v>45808</v>
      </c>
      <c r="J35" s="31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5"/>
        <v>#DIV/0!</v>
      </c>
    </row>
    <row r="611" spans="10:11" x14ac:dyDescent="0.4">
      <c r="J611">
        <v>7235</v>
      </c>
      <c r="K611">
        <v>6350.79</v>
      </c>
    </row>
    <row r="705" spans="10:11" x14ac:dyDescent="0.4">
      <c r="J705">
        <v>106</v>
      </c>
      <c r="K705">
        <v>79.5</v>
      </c>
    </row>
    <row r="813" spans="10:11" x14ac:dyDescent="0.4">
      <c r="J813">
        <v>14410</v>
      </c>
      <c r="K813">
        <v>6716.9089999999997</v>
      </c>
    </row>
  </sheetData>
  <mergeCells count="1">
    <mergeCell ref="B2:G3"/>
  </mergeCells>
  <phoneticPr fontId="3"/>
  <conditionalFormatting sqref="A5:A35">
    <cfRule type="expression" dxfId="9" priority="1">
      <formula>WEEKDAY(A5)=7</formula>
    </cfRule>
    <cfRule type="expression" dxfId="8" priority="2">
      <formula>WEEKDAY(A5)=1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80FBB-19DB-457E-8D76-2D7E82394378}">
  <sheetPr codeName="Sheet18">
    <tabColor rgb="FFFF0000"/>
  </sheetPr>
  <dimension ref="A1:X813"/>
  <sheetViews>
    <sheetView workbookViewId="0">
      <selection activeCell="S27" sqref="S27"/>
    </sheetView>
  </sheetViews>
  <sheetFormatPr defaultRowHeight="18.75" x14ac:dyDescent="0.4"/>
  <cols>
    <col min="1" max="1" width="10.5" bestFit="1" customWidth="1"/>
    <col min="10" max="10" width="9.5" bestFit="1" customWidth="1"/>
  </cols>
  <sheetData>
    <row r="1" spans="1:22" x14ac:dyDescent="0.4">
      <c r="A1">
        <v>3913</v>
      </c>
    </row>
    <row r="2" spans="1:22" ht="13.5" customHeight="1" x14ac:dyDescent="0.4">
      <c r="A2" s="2"/>
      <c r="B2" s="126" t="s">
        <v>107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 t="shared" ref="F5:F35" si="4">D5-C5</f>
        <v>0</v>
      </c>
      <c r="G5" s="18" t="e">
        <f t="shared" ref="G5:G36" si="5">D5/C5</f>
        <v>#DIV/0!</v>
      </c>
      <c r="I5" s="29">
        <f t="shared" ref="I5:I35" ca="1" si="6">A5</f>
        <v>45778</v>
      </c>
      <c r="J5" s="30"/>
      <c r="K5" s="30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si="4"/>
        <v>0</v>
      </c>
      <c r="G6" s="18" t="e">
        <f t="shared" si="5"/>
        <v>#DIV/0!</v>
      </c>
      <c r="I6" s="29">
        <f t="shared" ca="1" si="6"/>
        <v>45779</v>
      </c>
      <c r="J6" s="30"/>
      <c r="K6" s="30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4"/>
        <v>0</v>
      </c>
      <c r="G7" s="18" t="e">
        <f t="shared" si="5"/>
        <v>#DIV/0!</v>
      </c>
      <c r="I7" s="29">
        <f t="shared" ca="1" si="6"/>
        <v>45780</v>
      </c>
      <c r="J7" s="30"/>
      <c r="K7" s="30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4"/>
        <v>0</v>
      </c>
      <c r="G8" s="18" t="e">
        <f t="shared" si="5"/>
        <v>#DIV/0!</v>
      </c>
      <c r="I8" s="29">
        <f t="shared" ca="1" si="6"/>
        <v>45781</v>
      </c>
      <c r="J8" s="31"/>
      <c r="K8" s="31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4"/>
        <v>0</v>
      </c>
      <c r="G9" s="18" t="e">
        <f t="shared" si="5"/>
        <v>#DIV/0!</v>
      </c>
      <c r="I9" s="29">
        <f t="shared" ca="1" si="6"/>
        <v>45782</v>
      </c>
      <c r="J9" s="32"/>
      <c r="K9" s="32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4"/>
        <v>0</v>
      </c>
      <c r="G10" s="18" t="e">
        <f t="shared" si="5"/>
        <v>#DIV/0!</v>
      </c>
      <c r="I10" s="29">
        <f t="shared" ca="1" si="6"/>
        <v>45783</v>
      </c>
      <c r="J10" s="30"/>
      <c r="K10" s="30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4"/>
        <v>0</v>
      </c>
      <c r="G11" s="18" t="e">
        <f t="shared" si="5"/>
        <v>#DIV/0!</v>
      </c>
      <c r="I11" s="29">
        <f t="shared" ca="1" si="6"/>
        <v>45784</v>
      </c>
      <c r="J11" s="30"/>
      <c r="K11" s="30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4"/>
        <v>0</v>
      </c>
      <c r="G12" s="18" t="e">
        <f t="shared" si="5"/>
        <v>#DIV/0!</v>
      </c>
      <c r="I12" s="29">
        <f t="shared" ca="1" si="6"/>
        <v>45785</v>
      </c>
      <c r="J12" s="32"/>
      <c r="K12" s="32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4"/>
        <v>0</v>
      </c>
      <c r="G13" s="18" t="e">
        <f t="shared" si="5"/>
        <v>#DIV/0!</v>
      </c>
      <c r="I13" s="29">
        <f t="shared" ca="1" si="6"/>
        <v>45786</v>
      </c>
      <c r="J13" s="32"/>
      <c r="K13" s="32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4"/>
        <v>0</v>
      </c>
      <c r="G14" s="18" t="e">
        <f t="shared" si="5"/>
        <v>#DIV/0!</v>
      </c>
      <c r="I14" s="29">
        <f t="shared" ca="1" si="6"/>
        <v>45787</v>
      </c>
      <c r="J14" s="30"/>
      <c r="K14" s="30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4"/>
        <v>0</v>
      </c>
      <c r="G15" s="18" t="e">
        <f t="shared" si="5"/>
        <v>#DIV/0!</v>
      </c>
      <c r="I15" s="29">
        <f t="shared" ca="1" si="6"/>
        <v>45788</v>
      </c>
      <c r="J15" s="32"/>
      <c r="K15" s="32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4"/>
        <v>0</v>
      </c>
      <c r="G16" s="18" t="e">
        <f t="shared" si="5"/>
        <v>#DIV/0!</v>
      </c>
      <c r="I16" s="29">
        <f t="shared" ca="1" si="6"/>
        <v>45789</v>
      </c>
      <c r="J16" s="32"/>
      <c r="K16" s="32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4"/>
        <v>0</v>
      </c>
      <c r="G17" s="18" t="e">
        <f t="shared" si="5"/>
        <v>#DIV/0!</v>
      </c>
      <c r="I17" s="29">
        <f t="shared" ca="1" si="6"/>
        <v>45790</v>
      </c>
      <c r="J17" s="32"/>
      <c r="K17" s="32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4"/>
        <v>0</v>
      </c>
      <c r="G18" s="18" t="e">
        <f t="shared" si="5"/>
        <v>#DIV/0!</v>
      </c>
      <c r="I18" s="29">
        <f t="shared" ca="1" si="6"/>
        <v>45791</v>
      </c>
      <c r="J18" s="32"/>
      <c r="K18" s="32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4"/>
        <v>0</v>
      </c>
      <c r="G19" s="18" t="e">
        <f t="shared" si="5"/>
        <v>#DIV/0!</v>
      </c>
      <c r="I19" s="29">
        <f t="shared" ca="1" si="6"/>
        <v>45792</v>
      </c>
      <c r="J19" s="30"/>
      <c r="K19" s="30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4"/>
        <v>0</v>
      </c>
      <c r="G20" s="18" t="e">
        <f t="shared" si="5"/>
        <v>#DIV/0!</v>
      </c>
      <c r="I20" s="29">
        <f t="shared" ca="1" si="6"/>
        <v>45793</v>
      </c>
      <c r="J20" s="32"/>
      <c r="K20" s="32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4"/>
        <v>0</v>
      </c>
      <c r="G21" s="18" t="e">
        <f t="shared" si="5"/>
        <v>#DIV/0!</v>
      </c>
      <c r="I21" s="29">
        <f t="shared" ca="1" si="6"/>
        <v>45794</v>
      </c>
      <c r="J21" s="31"/>
      <c r="K21" s="31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4"/>
        <v>0</v>
      </c>
      <c r="G22" s="18" t="e">
        <f t="shared" si="5"/>
        <v>#DIV/0!</v>
      </c>
      <c r="I22" s="29">
        <f t="shared" ca="1" si="6"/>
        <v>45795</v>
      </c>
      <c r="J22" s="32"/>
      <c r="K22" s="32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4"/>
        <v>0</v>
      </c>
      <c r="G23" s="18" t="e">
        <f t="shared" si="5"/>
        <v>#DIV/0!</v>
      </c>
      <c r="I23" s="29">
        <f t="shared" ca="1" si="6"/>
        <v>45796</v>
      </c>
      <c r="J23" s="31"/>
      <c r="K23" s="31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4"/>
        <v>0</v>
      </c>
      <c r="G24" s="18" t="e">
        <f t="shared" si="5"/>
        <v>#DIV/0!</v>
      </c>
      <c r="I24" s="29">
        <f t="shared" ca="1" si="6"/>
        <v>45797</v>
      </c>
      <c r="J24" s="32"/>
      <c r="K24" s="32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4"/>
        <v>0</v>
      </c>
      <c r="G25" s="18" t="e">
        <f t="shared" si="5"/>
        <v>#DIV/0!</v>
      </c>
      <c r="I25" s="29">
        <f t="shared" ca="1" si="6"/>
        <v>45798</v>
      </c>
      <c r="J25" s="31"/>
      <c r="K25" s="31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4"/>
        <v>0</v>
      </c>
      <c r="G26" s="18" t="e">
        <f t="shared" si="5"/>
        <v>#DIV/0!</v>
      </c>
      <c r="I26" s="29">
        <f t="shared" ca="1" si="6"/>
        <v>45799</v>
      </c>
      <c r="J26" s="31"/>
      <c r="K26" s="31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4"/>
        <v>0</v>
      </c>
      <c r="G27" s="18" t="e">
        <f t="shared" si="5"/>
        <v>#DIV/0!</v>
      </c>
      <c r="I27" s="29">
        <f t="shared" ca="1" si="6"/>
        <v>45800</v>
      </c>
      <c r="J27" s="31"/>
      <c r="K27" s="31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4"/>
        <v>0</v>
      </c>
      <c r="G28" s="18" t="e">
        <f t="shared" si="5"/>
        <v>#DIV/0!</v>
      </c>
      <c r="I28" s="29">
        <f t="shared" ca="1" si="6"/>
        <v>45801</v>
      </c>
      <c r="J28" s="31"/>
      <c r="K28" s="31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4"/>
        <v>0</v>
      </c>
      <c r="G29" s="18" t="e">
        <f t="shared" si="5"/>
        <v>#DIV/0!</v>
      </c>
      <c r="I29" s="29">
        <f t="shared" ca="1" si="6"/>
        <v>45802</v>
      </c>
      <c r="J29" s="31"/>
      <c r="K29" s="31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4"/>
        <v>0</v>
      </c>
      <c r="G30" s="18" t="e">
        <f t="shared" si="5"/>
        <v>#DIV/0!</v>
      </c>
      <c r="I30" s="29">
        <f t="shared" ca="1" si="6"/>
        <v>45803</v>
      </c>
      <c r="J30" s="31"/>
      <c r="K30" s="31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4"/>
        <v>0</v>
      </c>
      <c r="G31" s="18" t="e">
        <f t="shared" si="5"/>
        <v>#DIV/0!</v>
      </c>
      <c r="I31" s="29">
        <f t="shared" ca="1" si="6"/>
        <v>45804</v>
      </c>
      <c r="J31" s="30"/>
      <c r="K31" s="30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4"/>
        <v>0</v>
      </c>
      <c r="G32" s="18" t="e">
        <f t="shared" si="5"/>
        <v>#DIV/0!</v>
      </c>
      <c r="I32" s="29">
        <f t="shared" ca="1" si="6"/>
        <v>45805</v>
      </c>
      <c r="J32" s="32"/>
      <c r="K32" s="32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4"/>
        <v>0</v>
      </c>
      <c r="G33" s="18" t="e">
        <f t="shared" si="5"/>
        <v>#DIV/0!</v>
      </c>
      <c r="I33" s="29">
        <f t="shared" ca="1" si="6"/>
        <v>45806</v>
      </c>
      <c r="J33" s="32"/>
      <c r="K33" s="32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4"/>
        <v>0</v>
      </c>
      <c r="G34" s="18" t="e">
        <f t="shared" si="5"/>
        <v>#DIV/0!</v>
      </c>
      <c r="I34" s="29">
        <f t="shared" ca="1" si="6"/>
        <v>45807</v>
      </c>
      <c r="J34" s="32"/>
      <c r="K34" s="32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4"/>
        <v>0</v>
      </c>
      <c r="G35" s="18" t="e">
        <f t="shared" si="5"/>
        <v>#DIV/0!</v>
      </c>
      <c r="I35" s="29">
        <f t="shared" ca="1" si="6"/>
        <v>45808</v>
      </c>
      <c r="J35" s="31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5"/>
        <v>#DIV/0!</v>
      </c>
    </row>
    <row r="611" spans="10:11" x14ac:dyDescent="0.4">
      <c r="J611">
        <v>7235</v>
      </c>
      <c r="K611">
        <v>6350.79</v>
      </c>
    </row>
    <row r="705" spans="10:11" x14ac:dyDescent="0.4">
      <c r="J705">
        <v>106</v>
      </c>
      <c r="K705">
        <v>79.5</v>
      </c>
    </row>
    <row r="813" spans="10:11" x14ac:dyDescent="0.4">
      <c r="J813">
        <v>14410</v>
      </c>
      <c r="K813">
        <v>6716.9089999999997</v>
      </c>
    </row>
  </sheetData>
  <mergeCells count="1">
    <mergeCell ref="B2:G3"/>
  </mergeCells>
  <phoneticPr fontId="3"/>
  <conditionalFormatting sqref="A5:A35">
    <cfRule type="expression" dxfId="7" priority="1">
      <formula>WEEKDAY(A5)=7</formula>
    </cfRule>
    <cfRule type="expression" dxfId="6" priority="2">
      <formula>WEEKDAY(A5)=1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97F7-873F-4BE8-AE90-E3B0F4335C91}">
  <sheetPr codeName="Sheet19">
    <tabColor rgb="FFFF0000"/>
  </sheetPr>
  <dimension ref="A1:X813"/>
  <sheetViews>
    <sheetView workbookViewId="0">
      <selection activeCell="T27" sqref="T27"/>
    </sheetView>
  </sheetViews>
  <sheetFormatPr defaultRowHeight="18.75" x14ac:dyDescent="0.4"/>
  <cols>
    <col min="1" max="1" width="10.5" bestFit="1" customWidth="1"/>
    <col min="10" max="10" width="9.5" bestFit="1" customWidth="1"/>
  </cols>
  <sheetData>
    <row r="1" spans="1:22" x14ac:dyDescent="0.4">
      <c r="A1">
        <v>3506</v>
      </c>
    </row>
    <row r="2" spans="1:22" ht="13.5" customHeight="1" x14ac:dyDescent="0.4">
      <c r="A2" s="2"/>
      <c r="B2" s="126" t="s">
        <v>107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 t="shared" ref="F5:F35" si="4">D5-C5</f>
        <v>0</v>
      </c>
      <c r="G5" s="18" t="e">
        <f t="shared" ref="G5:G36" si="5">D5/C5</f>
        <v>#DIV/0!</v>
      </c>
      <c r="I5" s="29">
        <f t="shared" ref="I5:I35" ca="1" si="6">A5</f>
        <v>45778</v>
      </c>
      <c r="J5" s="30"/>
      <c r="K5" s="30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si="4"/>
        <v>0</v>
      </c>
      <c r="G6" s="18" t="e">
        <f t="shared" si="5"/>
        <v>#DIV/0!</v>
      </c>
      <c r="I6" s="29">
        <f t="shared" ca="1" si="6"/>
        <v>45779</v>
      </c>
      <c r="J6" s="30"/>
      <c r="K6" s="30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4"/>
        <v>0</v>
      </c>
      <c r="G7" s="18" t="e">
        <f t="shared" si="5"/>
        <v>#DIV/0!</v>
      </c>
      <c r="I7" s="29">
        <f t="shared" ca="1" si="6"/>
        <v>45780</v>
      </c>
      <c r="J7" s="30"/>
      <c r="K7" s="30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4"/>
        <v>0</v>
      </c>
      <c r="G8" s="18" t="e">
        <f t="shared" si="5"/>
        <v>#DIV/0!</v>
      </c>
      <c r="I8" s="29">
        <f t="shared" ca="1" si="6"/>
        <v>45781</v>
      </c>
      <c r="J8" s="31"/>
      <c r="K8" s="31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4"/>
        <v>0</v>
      </c>
      <c r="G9" s="18" t="e">
        <f t="shared" si="5"/>
        <v>#DIV/0!</v>
      </c>
      <c r="I9" s="29">
        <f t="shared" ca="1" si="6"/>
        <v>45782</v>
      </c>
      <c r="J9" s="32"/>
      <c r="K9" s="32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4"/>
        <v>0</v>
      </c>
      <c r="G10" s="18" t="e">
        <f t="shared" si="5"/>
        <v>#DIV/0!</v>
      </c>
      <c r="I10" s="29">
        <f t="shared" ca="1" si="6"/>
        <v>45783</v>
      </c>
      <c r="J10" s="30"/>
      <c r="K10" s="30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4"/>
        <v>0</v>
      </c>
      <c r="G11" s="18" t="e">
        <f t="shared" si="5"/>
        <v>#DIV/0!</v>
      </c>
      <c r="I11" s="29">
        <f t="shared" ca="1" si="6"/>
        <v>45784</v>
      </c>
      <c r="J11" s="30"/>
      <c r="K11" s="30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4"/>
        <v>0</v>
      </c>
      <c r="G12" s="18" t="e">
        <f t="shared" si="5"/>
        <v>#DIV/0!</v>
      </c>
      <c r="I12" s="29">
        <f t="shared" ca="1" si="6"/>
        <v>45785</v>
      </c>
      <c r="J12" s="32"/>
      <c r="K12" s="32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4"/>
        <v>0</v>
      </c>
      <c r="G13" s="18" t="e">
        <f t="shared" si="5"/>
        <v>#DIV/0!</v>
      </c>
      <c r="I13" s="29">
        <f t="shared" ca="1" si="6"/>
        <v>45786</v>
      </c>
      <c r="J13" s="32"/>
      <c r="K13" s="32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4"/>
        <v>0</v>
      </c>
      <c r="G14" s="18" t="e">
        <f t="shared" si="5"/>
        <v>#DIV/0!</v>
      </c>
      <c r="I14" s="29">
        <f t="shared" ca="1" si="6"/>
        <v>45787</v>
      </c>
      <c r="J14" s="30"/>
      <c r="K14" s="30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4"/>
        <v>0</v>
      </c>
      <c r="G15" s="18" t="e">
        <f t="shared" si="5"/>
        <v>#DIV/0!</v>
      </c>
      <c r="I15" s="29">
        <f t="shared" ca="1" si="6"/>
        <v>45788</v>
      </c>
      <c r="J15" s="32"/>
      <c r="K15" s="32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4"/>
        <v>0</v>
      </c>
      <c r="G16" s="18" t="e">
        <f t="shared" si="5"/>
        <v>#DIV/0!</v>
      </c>
      <c r="I16" s="29">
        <f t="shared" ca="1" si="6"/>
        <v>45789</v>
      </c>
      <c r="J16" s="32"/>
      <c r="K16" s="32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4"/>
        <v>0</v>
      </c>
      <c r="G17" s="18" t="e">
        <f t="shared" si="5"/>
        <v>#DIV/0!</v>
      </c>
      <c r="I17" s="29">
        <f t="shared" ca="1" si="6"/>
        <v>45790</v>
      </c>
      <c r="J17" s="32"/>
      <c r="K17" s="32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4"/>
        <v>0</v>
      </c>
      <c r="G18" s="18" t="e">
        <f t="shared" si="5"/>
        <v>#DIV/0!</v>
      </c>
      <c r="I18" s="29">
        <f t="shared" ca="1" si="6"/>
        <v>45791</v>
      </c>
      <c r="J18" s="32"/>
      <c r="K18" s="32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4"/>
        <v>0</v>
      </c>
      <c r="G19" s="18" t="e">
        <f t="shared" si="5"/>
        <v>#DIV/0!</v>
      </c>
      <c r="I19" s="29">
        <f t="shared" ca="1" si="6"/>
        <v>45792</v>
      </c>
      <c r="J19" s="30"/>
      <c r="K19" s="30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4"/>
        <v>0</v>
      </c>
      <c r="G20" s="18" t="e">
        <f t="shared" si="5"/>
        <v>#DIV/0!</v>
      </c>
      <c r="I20" s="29">
        <f t="shared" ca="1" si="6"/>
        <v>45793</v>
      </c>
      <c r="J20" s="32"/>
      <c r="K20" s="32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4"/>
        <v>0</v>
      </c>
      <c r="G21" s="18" t="e">
        <f t="shared" si="5"/>
        <v>#DIV/0!</v>
      </c>
      <c r="I21" s="29">
        <f t="shared" ca="1" si="6"/>
        <v>45794</v>
      </c>
      <c r="J21" s="31"/>
      <c r="K21" s="31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4"/>
        <v>0</v>
      </c>
      <c r="G22" s="18" t="e">
        <f t="shared" si="5"/>
        <v>#DIV/0!</v>
      </c>
      <c r="I22" s="29">
        <f t="shared" ca="1" si="6"/>
        <v>45795</v>
      </c>
      <c r="J22" s="32"/>
      <c r="K22" s="32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4"/>
        <v>0</v>
      </c>
      <c r="G23" s="18" t="e">
        <f t="shared" si="5"/>
        <v>#DIV/0!</v>
      </c>
      <c r="I23" s="29">
        <f t="shared" ca="1" si="6"/>
        <v>45796</v>
      </c>
      <c r="J23" s="31"/>
      <c r="K23" s="31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4"/>
        <v>0</v>
      </c>
      <c r="G24" s="18" t="e">
        <f t="shared" si="5"/>
        <v>#DIV/0!</v>
      </c>
      <c r="I24" s="29">
        <f t="shared" ca="1" si="6"/>
        <v>45797</v>
      </c>
      <c r="J24" s="32"/>
      <c r="K24" s="32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4"/>
        <v>0</v>
      </c>
      <c r="G25" s="18" t="e">
        <f t="shared" si="5"/>
        <v>#DIV/0!</v>
      </c>
      <c r="I25" s="29">
        <f t="shared" ca="1" si="6"/>
        <v>45798</v>
      </c>
      <c r="J25" s="31"/>
      <c r="K25" s="31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4"/>
        <v>0</v>
      </c>
      <c r="G26" s="18" t="e">
        <f t="shared" si="5"/>
        <v>#DIV/0!</v>
      </c>
      <c r="I26" s="29">
        <f t="shared" ca="1" si="6"/>
        <v>45799</v>
      </c>
      <c r="J26" s="31"/>
      <c r="K26" s="31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4"/>
        <v>0</v>
      </c>
      <c r="G27" s="18" t="e">
        <f t="shared" si="5"/>
        <v>#DIV/0!</v>
      </c>
      <c r="I27" s="29">
        <f t="shared" ca="1" si="6"/>
        <v>45800</v>
      </c>
      <c r="J27" s="31"/>
      <c r="K27" s="31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4"/>
        <v>0</v>
      </c>
      <c r="G28" s="18" t="e">
        <f t="shared" si="5"/>
        <v>#DIV/0!</v>
      </c>
      <c r="I28" s="29">
        <f t="shared" ca="1" si="6"/>
        <v>45801</v>
      </c>
      <c r="J28" s="31"/>
      <c r="K28" s="31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4"/>
        <v>0</v>
      </c>
      <c r="G29" s="18" t="e">
        <f t="shared" si="5"/>
        <v>#DIV/0!</v>
      </c>
      <c r="I29" s="29">
        <f t="shared" ca="1" si="6"/>
        <v>45802</v>
      </c>
      <c r="J29" s="31"/>
      <c r="K29" s="31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4"/>
        <v>0</v>
      </c>
      <c r="G30" s="18" t="e">
        <f t="shared" si="5"/>
        <v>#DIV/0!</v>
      </c>
      <c r="I30" s="29">
        <f t="shared" ca="1" si="6"/>
        <v>45803</v>
      </c>
      <c r="J30" s="31"/>
      <c r="K30" s="31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4"/>
        <v>0</v>
      </c>
      <c r="G31" s="18" t="e">
        <f t="shared" si="5"/>
        <v>#DIV/0!</v>
      </c>
      <c r="I31" s="29">
        <f t="shared" ca="1" si="6"/>
        <v>45804</v>
      </c>
      <c r="J31" s="30"/>
      <c r="K31" s="30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4"/>
        <v>0</v>
      </c>
      <c r="G32" s="18" t="e">
        <f t="shared" si="5"/>
        <v>#DIV/0!</v>
      </c>
      <c r="I32" s="29">
        <f t="shared" ca="1" si="6"/>
        <v>45805</v>
      </c>
      <c r="J32" s="32"/>
      <c r="K32" s="32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4"/>
        <v>0</v>
      </c>
      <c r="G33" s="18" t="e">
        <f t="shared" si="5"/>
        <v>#DIV/0!</v>
      </c>
      <c r="I33" s="29">
        <f t="shared" ca="1" si="6"/>
        <v>45806</v>
      </c>
      <c r="J33" s="32"/>
      <c r="K33" s="32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4"/>
        <v>0</v>
      </c>
      <c r="G34" s="18" t="e">
        <f t="shared" si="5"/>
        <v>#DIV/0!</v>
      </c>
      <c r="I34" s="29">
        <f t="shared" ca="1" si="6"/>
        <v>45807</v>
      </c>
      <c r="J34" s="32"/>
      <c r="K34" s="32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4"/>
        <v>0</v>
      </c>
      <c r="G35" s="18" t="e">
        <f t="shared" si="5"/>
        <v>#DIV/0!</v>
      </c>
      <c r="I35" s="29">
        <f t="shared" ca="1" si="6"/>
        <v>45808</v>
      </c>
      <c r="J35" s="31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5"/>
        <v>#DIV/0!</v>
      </c>
    </row>
    <row r="611" spans="10:11" x14ac:dyDescent="0.4">
      <c r="J611">
        <v>7235</v>
      </c>
      <c r="K611">
        <v>6350.79</v>
      </c>
    </row>
    <row r="705" spans="10:11" x14ac:dyDescent="0.4">
      <c r="J705">
        <v>106</v>
      </c>
      <c r="K705">
        <v>79.5</v>
      </c>
    </row>
    <row r="813" spans="10:11" x14ac:dyDescent="0.4">
      <c r="J813">
        <v>14410</v>
      </c>
      <c r="K813">
        <v>6716.9089999999997</v>
      </c>
    </row>
  </sheetData>
  <mergeCells count="1">
    <mergeCell ref="B2:G3"/>
  </mergeCells>
  <phoneticPr fontId="3"/>
  <conditionalFormatting sqref="A5:A35">
    <cfRule type="expression" dxfId="5" priority="1">
      <formula>WEEKDAY(A5)=7</formula>
    </cfRule>
    <cfRule type="expression" dxfId="4" priority="2">
      <formula>WEEKDAY(A5)=1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11B0-0617-4C3A-9DF2-0428B2E93BFF}">
  <sheetPr codeName="Sheet20">
    <tabColor rgb="FFFF0000"/>
  </sheetPr>
  <dimension ref="A1:X813"/>
  <sheetViews>
    <sheetView workbookViewId="0">
      <selection activeCell="S27" sqref="S27"/>
    </sheetView>
  </sheetViews>
  <sheetFormatPr defaultRowHeight="18.75" x14ac:dyDescent="0.4"/>
  <cols>
    <col min="1" max="1" width="10.5" bestFit="1" customWidth="1"/>
    <col min="10" max="10" width="9.5" bestFit="1" customWidth="1"/>
  </cols>
  <sheetData>
    <row r="1" spans="1:22" x14ac:dyDescent="0.4">
      <c r="A1">
        <v>3218</v>
      </c>
    </row>
    <row r="2" spans="1:22" ht="13.5" customHeight="1" x14ac:dyDescent="0.4">
      <c r="A2" s="2"/>
      <c r="B2" s="126" t="s">
        <v>107</v>
      </c>
      <c r="C2" s="126"/>
      <c r="D2" s="126"/>
      <c r="E2" s="126"/>
      <c r="F2" s="126"/>
      <c r="G2" s="126"/>
    </row>
    <row r="3" spans="1:22" ht="13.5" customHeight="1" x14ac:dyDescent="0.4">
      <c r="A3" s="2"/>
      <c r="B3" s="126"/>
      <c r="C3" s="126"/>
      <c r="D3" s="126"/>
      <c r="E3" s="126"/>
      <c r="F3" s="126"/>
      <c r="G3" s="126"/>
      <c r="J3" t="s">
        <v>25</v>
      </c>
    </row>
    <row r="4" spans="1:22" x14ac:dyDescent="0.4">
      <c r="A4" s="2"/>
      <c r="B4" s="2" t="s">
        <v>26</v>
      </c>
      <c r="C4" s="14" t="s">
        <v>11</v>
      </c>
      <c r="D4" s="14" t="s">
        <v>12</v>
      </c>
      <c r="E4" s="2" t="s">
        <v>13</v>
      </c>
      <c r="F4" s="15" t="s">
        <v>27</v>
      </c>
      <c r="G4" s="2" t="s">
        <v>15</v>
      </c>
      <c r="J4" t="s">
        <v>28</v>
      </c>
      <c r="K4" t="s">
        <v>29</v>
      </c>
    </row>
    <row r="5" spans="1:22" x14ac:dyDescent="0.4">
      <c r="A5" s="16">
        <f ca="1">合計!$A5</f>
        <v>45778</v>
      </c>
      <c r="B5" s="17" t="str">
        <f t="shared" ref="B5:B35" si="0">IF(K5="","",K5)</f>
        <v/>
      </c>
      <c r="C5" s="17">
        <f t="shared" ref="C5:C35" si="1">IFERROR(B5*90.91%,0)</f>
        <v>0</v>
      </c>
      <c r="D5" s="17">
        <f t="shared" ref="D5:D35" si="2">IFERROR(E5*92.597%,0)</f>
        <v>0</v>
      </c>
      <c r="E5" s="17" t="str">
        <f t="shared" ref="E5:E35" si="3">IF(J5="","",J5)</f>
        <v/>
      </c>
      <c r="F5" s="15">
        <f t="shared" ref="F5:F35" si="4">D5-C5</f>
        <v>0</v>
      </c>
      <c r="G5" s="18" t="e">
        <f t="shared" ref="G5:G36" si="5">D5/C5</f>
        <v>#DIV/0!</v>
      </c>
      <c r="I5" s="29">
        <f t="shared" ref="I5:I35" ca="1" si="6">A5</f>
        <v>45778</v>
      </c>
      <c r="J5" s="30"/>
      <c r="K5" s="30"/>
      <c r="V5" s="29"/>
    </row>
    <row r="6" spans="1:22" x14ac:dyDescent="0.4">
      <c r="A6" s="16">
        <f ca="1">合計!$A6</f>
        <v>45779</v>
      </c>
      <c r="B6" s="17" t="str">
        <f t="shared" si="0"/>
        <v/>
      </c>
      <c r="C6" s="17">
        <f t="shared" si="1"/>
        <v>0</v>
      </c>
      <c r="D6" s="17">
        <f t="shared" si="2"/>
        <v>0</v>
      </c>
      <c r="E6" s="17" t="str">
        <f t="shared" si="3"/>
        <v/>
      </c>
      <c r="F6" s="15">
        <f t="shared" si="4"/>
        <v>0</v>
      </c>
      <c r="G6" s="18" t="e">
        <f t="shared" si="5"/>
        <v>#DIV/0!</v>
      </c>
      <c r="I6" s="29">
        <f t="shared" ca="1" si="6"/>
        <v>45779</v>
      </c>
      <c r="J6" s="30"/>
      <c r="K6" s="30"/>
      <c r="V6" s="29"/>
    </row>
    <row r="7" spans="1:22" x14ac:dyDescent="0.4">
      <c r="A7" s="16">
        <f ca="1">合計!$A7</f>
        <v>45780</v>
      </c>
      <c r="B7" s="17" t="str">
        <f t="shared" si="0"/>
        <v/>
      </c>
      <c r="C7" s="17">
        <f t="shared" si="1"/>
        <v>0</v>
      </c>
      <c r="D7" s="17">
        <f t="shared" si="2"/>
        <v>0</v>
      </c>
      <c r="E7" s="17" t="str">
        <f t="shared" si="3"/>
        <v/>
      </c>
      <c r="F7" s="15">
        <f t="shared" si="4"/>
        <v>0</v>
      </c>
      <c r="G7" s="18" t="e">
        <f t="shared" si="5"/>
        <v>#DIV/0!</v>
      </c>
      <c r="I7" s="29">
        <f t="shared" ca="1" si="6"/>
        <v>45780</v>
      </c>
      <c r="J7" s="30"/>
      <c r="K7" s="30"/>
      <c r="V7" s="29"/>
    </row>
    <row r="8" spans="1:22" x14ac:dyDescent="0.4">
      <c r="A8" s="16">
        <f ca="1">合計!$A8</f>
        <v>45781</v>
      </c>
      <c r="B8" s="17" t="str">
        <f t="shared" si="0"/>
        <v/>
      </c>
      <c r="C8" s="17">
        <f t="shared" si="1"/>
        <v>0</v>
      </c>
      <c r="D8" s="17">
        <f t="shared" si="2"/>
        <v>0</v>
      </c>
      <c r="E8" s="17" t="str">
        <f t="shared" si="3"/>
        <v/>
      </c>
      <c r="F8" s="15">
        <f t="shared" si="4"/>
        <v>0</v>
      </c>
      <c r="G8" s="18" t="e">
        <f t="shared" si="5"/>
        <v>#DIV/0!</v>
      </c>
      <c r="I8" s="29">
        <f t="shared" ca="1" si="6"/>
        <v>45781</v>
      </c>
      <c r="J8" s="31"/>
      <c r="K8" s="31"/>
      <c r="V8" s="29"/>
    </row>
    <row r="9" spans="1:22" x14ac:dyDescent="0.4">
      <c r="A9" s="16">
        <f ca="1">合計!$A9</f>
        <v>45782</v>
      </c>
      <c r="B9" s="17" t="str">
        <f t="shared" si="0"/>
        <v/>
      </c>
      <c r="C9" s="17">
        <f t="shared" si="1"/>
        <v>0</v>
      </c>
      <c r="D9" s="17">
        <f t="shared" si="2"/>
        <v>0</v>
      </c>
      <c r="E9" s="17" t="str">
        <f t="shared" si="3"/>
        <v/>
      </c>
      <c r="F9" s="15">
        <f t="shared" si="4"/>
        <v>0</v>
      </c>
      <c r="G9" s="18" t="e">
        <f t="shared" si="5"/>
        <v>#DIV/0!</v>
      </c>
      <c r="I9" s="29">
        <f t="shared" ca="1" si="6"/>
        <v>45782</v>
      </c>
      <c r="J9" s="32"/>
      <c r="K9" s="32"/>
      <c r="V9" s="29"/>
    </row>
    <row r="10" spans="1:22" x14ac:dyDescent="0.4">
      <c r="A10" s="16">
        <f ca="1">合計!$A10</f>
        <v>45783</v>
      </c>
      <c r="B10" s="17" t="str">
        <f t="shared" si="0"/>
        <v/>
      </c>
      <c r="C10" s="17">
        <f t="shared" si="1"/>
        <v>0</v>
      </c>
      <c r="D10" s="17">
        <f t="shared" si="2"/>
        <v>0</v>
      </c>
      <c r="E10" s="17" t="str">
        <f t="shared" si="3"/>
        <v/>
      </c>
      <c r="F10" s="15">
        <f t="shared" si="4"/>
        <v>0</v>
      </c>
      <c r="G10" s="18" t="e">
        <f t="shared" si="5"/>
        <v>#DIV/0!</v>
      </c>
      <c r="I10" s="29">
        <f t="shared" ca="1" si="6"/>
        <v>45783</v>
      </c>
      <c r="J10" s="30"/>
      <c r="K10" s="30"/>
      <c r="V10" s="29"/>
    </row>
    <row r="11" spans="1:22" x14ac:dyDescent="0.4">
      <c r="A11" s="16">
        <f ca="1">合計!$A11</f>
        <v>45784</v>
      </c>
      <c r="B11" s="17" t="str">
        <f t="shared" si="0"/>
        <v/>
      </c>
      <c r="C11" s="17">
        <f t="shared" si="1"/>
        <v>0</v>
      </c>
      <c r="D11" s="17">
        <f t="shared" si="2"/>
        <v>0</v>
      </c>
      <c r="E11" s="17" t="str">
        <f t="shared" si="3"/>
        <v/>
      </c>
      <c r="F11" s="15">
        <f t="shared" si="4"/>
        <v>0</v>
      </c>
      <c r="G11" s="18" t="e">
        <f t="shared" si="5"/>
        <v>#DIV/0!</v>
      </c>
      <c r="I11" s="29">
        <f t="shared" ca="1" si="6"/>
        <v>45784</v>
      </c>
      <c r="J11" s="30"/>
      <c r="K11" s="30"/>
      <c r="V11" s="29"/>
    </row>
    <row r="12" spans="1:22" x14ac:dyDescent="0.4">
      <c r="A12" s="16">
        <f ca="1">合計!$A12</f>
        <v>45785</v>
      </c>
      <c r="B12" s="17" t="str">
        <f t="shared" si="0"/>
        <v/>
      </c>
      <c r="C12" s="17">
        <f t="shared" si="1"/>
        <v>0</v>
      </c>
      <c r="D12" s="17">
        <f t="shared" si="2"/>
        <v>0</v>
      </c>
      <c r="E12" s="17" t="str">
        <f t="shared" si="3"/>
        <v/>
      </c>
      <c r="F12" s="15">
        <f t="shared" si="4"/>
        <v>0</v>
      </c>
      <c r="G12" s="18" t="e">
        <f t="shared" si="5"/>
        <v>#DIV/0!</v>
      </c>
      <c r="I12" s="29">
        <f t="shared" ca="1" si="6"/>
        <v>45785</v>
      </c>
      <c r="J12" s="34"/>
      <c r="K12" s="34"/>
      <c r="V12" s="29"/>
    </row>
    <row r="13" spans="1:22" x14ac:dyDescent="0.4">
      <c r="A13" s="16">
        <f ca="1">合計!$A13</f>
        <v>45786</v>
      </c>
      <c r="B13" s="17" t="str">
        <f t="shared" si="0"/>
        <v/>
      </c>
      <c r="C13" s="17">
        <f t="shared" si="1"/>
        <v>0</v>
      </c>
      <c r="D13" s="17">
        <f t="shared" si="2"/>
        <v>0</v>
      </c>
      <c r="E13" s="17" t="str">
        <f t="shared" si="3"/>
        <v/>
      </c>
      <c r="F13" s="15">
        <f t="shared" si="4"/>
        <v>0</v>
      </c>
      <c r="G13" s="18" t="e">
        <f t="shared" si="5"/>
        <v>#DIV/0!</v>
      </c>
      <c r="I13" s="29">
        <f t="shared" ca="1" si="6"/>
        <v>45786</v>
      </c>
      <c r="J13" s="34"/>
      <c r="K13" s="34"/>
      <c r="V13" s="29"/>
    </row>
    <row r="14" spans="1:22" x14ac:dyDescent="0.4">
      <c r="A14" s="16">
        <f ca="1">合計!$A14</f>
        <v>45787</v>
      </c>
      <c r="B14" s="17" t="str">
        <f t="shared" si="0"/>
        <v/>
      </c>
      <c r="C14" s="17">
        <f t="shared" si="1"/>
        <v>0</v>
      </c>
      <c r="D14" s="17">
        <f t="shared" si="2"/>
        <v>0</v>
      </c>
      <c r="E14" s="17" t="str">
        <f t="shared" si="3"/>
        <v/>
      </c>
      <c r="F14" s="15">
        <f t="shared" si="4"/>
        <v>0</v>
      </c>
      <c r="G14" s="18" t="e">
        <f t="shared" si="5"/>
        <v>#DIV/0!</v>
      </c>
      <c r="I14" s="29">
        <f t="shared" ca="1" si="6"/>
        <v>45787</v>
      </c>
      <c r="J14" s="34"/>
      <c r="K14" s="30"/>
      <c r="V14" s="29"/>
    </row>
    <row r="15" spans="1:22" x14ac:dyDescent="0.4">
      <c r="A15" s="16">
        <f ca="1">合計!$A15</f>
        <v>45788</v>
      </c>
      <c r="B15" s="17" t="str">
        <f t="shared" si="0"/>
        <v/>
      </c>
      <c r="C15" s="17">
        <f t="shared" si="1"/>
        <v>0</v>
      </c>
      <c r="D15" s="17">
        <f t="shared" si="2"/>
        <v>0</v>
      </c>
      <c r="E15" s="17" t="str">
        <f t="shared" si="3"/>
        <v/>
      </c>
      <c r="F15" s="15">
        <f t="shared" si="4"/>
        <v>0</v>
      </c>
      <c r="G15" s="18" t="e">
        <f t="shared" si="5"/>
        <v>#DIV/0!</v>
      </c>
      <c r="I15" s="29">
        <f t="shared" ca="1" si="6"/>
        <v>45788</v>
      </c>
      <c r="J15" s="32"/>
      <c r="K15" s="32"/>
      <c r="V15" s="29"/>
    </row>
    <row r="16" spans="1:22" x14ac:dyDescent="0.4">
      <c r="A16" s="16">
        <f ca="1">合計!$A16</f>
        <v>45789</v>
      </c>
      <c r="B16" s="17" t="str">
        <f t="shared" si="0"/>
        <v/>
      </c>
      <c r="C16" s="17">
        <f t="shared" si="1"/>
        <v>0</v>
      </c>
      <c r="D16" s="17">
        <f t="shared" si="2"/>
        <v>0</v>
      </c>
      <c r="E16" s="17" t="str">
        <f t="shared" si="3"/>
        <v/>
      </c>
      <c r="F16" s="15">
        <f t="shared" si="4"/>
        <v>0</v>
      </c>
      <c r="G16" s="18" t="e">
        <f t="shared" si="5"/>
        <v>#DIV/0!</v>
      </c>
      <c r="I16" s="29">
        <f t="shared" ca="1" si="6"/>
        <v>45789</v>
      </c>
      <c r="J16" s="34"/>
      <c r="K16" s="34"/>
      <c r="V16" s="29"/>
    </row>
    <row r="17" spans="1:24" x14ac:dyDescent="0.4">
      <c r="A17" s="16">
        <f ca="1">合計!$A17</f>
        <v>45790</v>
      </c>
      <c r="B17" s="17" t="str">
        <f t="shared" si="0"/>
        <v/>
      </c>
      <c r="C17" s="17">
        <f t="shared" si="1"/>
        <v>0</v>
      </c>
      <c r="D17" s="17">
        <f t="shared" si="2"/>
        <v>0</v>
      </c>
      <c r="E17" s="17" t="str">
        <f t="shared" si="3"/>
        <v/>
      </c>
      <c r="F17" s="15">
        <f t="shared" si="4"/>
        <v>0</v>
      </c>
      <c r="G17" s="18" t="e">
        <f t="shared" si="5"/>
        <v>#DIV/0!</v>
      </c>
      <c r="I17" s="29">
        <f t="shared" ca="1" si="6"/>
        <v>45790</v>
      </c>
      <c r="J17" s="32"/>
      <c r="K17" s="32"/>
      <c r="V17" s="29"/>
    </row>
    <row r="18" spans="1:24" x14ac:dyDescent="0.4">
      <c r="A18" s="16">
        <f ca="1">合計!$A18</f>
        <v>45791</v>
      </c>
      <c r="B18" s="17" t="str">
        <f t="shared" si="0"/>
        <v/>
      </c>
      <c r="C18" s="17">
        <f t="shared" si="1"/>
        <v>0</v>
      </c>
      <c r="D18" s="17">
        <f t="shared" si="2"/>
        <v>0</v>
      </c>
      <c r="E18" s="17" t="str">
        <f t="shared" si="3"/>
        <v/>
      </c>
      <c r="F18" s="15">
        <f t="shared" si="4"/>
        <v>0</v>
      </c>
      <c r="G18" s="18" t="e">
        <f t="shared" si="5"/>
        <v>#DIV/0!</v>
      </c>
      <c r="I18" s="29">
        <f t="shared" ca="1" si="6"/>
        <v>45791</v>
      </c>
      <c r="J18" s="32"/>
      <c r="K18" s="32"/>
      <c r="V18" s="29"/>
    </row>
    <row r="19" spans="1:24" x14ac:dyDescent="0.4">
      <c r="A19" s="16">
        <f ca="1">合計!$A19</f>
        <v>45792</v>
      </c>
      <c r="B19" s="17" t="str">
        <f t="shared" si="0"/>
        <v/>
      </c>
      <c r="C19" s="17">
        <f t="shared" si="1"/>
        <v>0</v>
      </c>
      <c r="D19" s="17">
        <f t="shared" si="2"/>
        <v>0</v>
      </c>
      <c r="E19" s="17" t="str">
        <f t="shared" si="3"/>
        <v/>
      </c>
      <c r="F19" s="15">
        <f t="shared" si="4"/>
        <v>0</v>
      </c>
      <c r="G19" s="18" t="e">
        <f t="shared" si="5"/>
        <v>#DIV/0!</v>
      </c>
      <c r="I19" s="29">
        <f t="shared" ca="1" si="6"/>
        <v>45792</v>
      </c>
      <c r="J19" s="30"/>
      <c r="K19" s="30"/>
      <c r="V19" s="29"/>
      <c r="X19" s="33"/>
    </row>
    <row r="20" spans="1:24" x14ac:dyDescent="0.4">
      <c r="A20" s="16">
        <f ca="1">合計!$A20</f>
        <v>45793</v>
      </c>
      <c r="B20" s="17" t="str">
        <f t="shared" si="0"/>
        <v/>
      </c>
      <c r="C20" s="17">
        <f t="shared" si="1"/>
        <v>0</v>
      </c>
      <c r="D20" s="17">
        <f t="shared" si="2"/>
        <v>0</v>
      </c>
      <c r="E20" s="17" t="str">
        <f t="shared" si="3"/>
        <v/>
      </c>
      <c r="F20" s="15">
        <f t="shared" si="4"/>
        <v>0</v>
      </c>
      <c r="G20" s="18" t="e">
        <f t="shared" si="5"/>
        <v>#DIV/0!</v>
      </c>
      <c r="I20" s="29">
        <f t="shared" ca="1" si="6"/>
        <v>45793</v>
      </c>
      <c r="J20" s="32"/>
      <c r="K20" s="32"/>
      <c r="V20" s="29"/>
      <c r="X20" s="33"/>
    </row>
    <row r="21" spans="1:24" x14ac:dyDescent="0.4">
      <c r="A21" s="16">
        <f ca="1">合計!$A21</f>
        <v>45794</v>
      </c>
      <c r="B21" s="17" t="str">
        <f t="shared" si="0"/>
        <v/>
      </c>
      <c r="C21" s="17">
        <f t="shared" si="1"/>
        <v>0</v>
      </c>
      <c r="D21" s="17">
        <f t="shared" si="2"/>
        <v>0</v>
      </c>
      <c r="E21" s="17" t="str">
        <f t="shared" si="3"/>
        <v/>
      </c>
      <c r="F21" s="15">
        <f t="shared" si="4"/>
        <v>0</v>
      </c>
      <c r="G21" s="18" t="e">
        <f t="shared" si="5"/>
        <v>#DIV/0!</v>
      </c>
      <c r="I21" s="29">
        <f t="shared" ca="1" si="6"/>
        <v>45794</v>
      </c>
      <c r="J21" s="31"/>
      <c r="K21" s="31"/>
      <c r="V21" s="29"/>
      <c r="X21" s="33"/>
    </row>
    <row r="22" spans="1:24" x14ac:dyDescent="0.4">
      <c r="A22" s="16">
        <f ca="1">合計!$A22</f>
        <v>45795</v>
      </c>
      <c r="B22" s="17" t="str">
        <f t="shared" si="0"/>
        <v/>
      </c>
      <c r="C22" s="17">
        <f t="shared" si="1"/>
        <v>0</v>
      </c>
      <c r="D22" s="17">
        <f t="shared" si="2"/>
        <v>0</v>
      </c>
      <c r="E22" s="17" t="str">
        <f t="shared" si="3"/>
        <v/>
      </c>
      <c r="F22" s="15">
        <f t="shared" si="4"/>
        <v>0</v>
      </c>
      <c r="G22" s="18" t="e">
        <f t="shared" si="5"/>
        <v>#DIV/0!</v>
      </c>
      <c r="I22" s="29">
        <f t="shared" ca="1" si="6"/>
        <v>45795</v>
      </c>
      <c r="J22" s="32"/>
      <c r="K22" s="32"/>
      <c r="V22" s="29"/>
      <c r="X22" s="33"/>
    </row>
    <row r="23" spans="1:24" x14ac:dyDescent="0.4">
      <c r="A23" s="16">
        <f ca="1">合計!$A23</f>
        <v>45796</v>
      </c>
      <c r="B23" s="17" t="str">
        <f t="shared" si="0"/>
        <v/>
      </c>
      <c r="C23" s="17">
        <f t="shared" si="1"/>
        <v>0</v>
      </c>
      <c r="D23" s="17">
        <f t="shared" si="2"/>
        <v>0</v>
      </c>
      <c r="E23" s="17" t="str">
        <f t="shared" si="3"/>
        <v/>
      </c>
      <c r="F23" s="15">
        <f t="shared" si="4"/>
        <v>0</v>
      </c>
      <c r="G23" s="18" t="e">
        <f t="shared" si="5"/>
        <v>#DIV/0!</v>
      </c>
      <c r="I23" s="29">
        <f t="shared" ca="1" si="6"/>
        <v>45796</v>
      </c>
      <c r="J23" s="31"/>
      <c r="K23" s="31"/>
      <c r="V23" s="29"/>
      <c r="X23" s="33"/>
    </row>
    <row r="24" spans="1:24" x14ac:dyDescent="0.4">
      <c r="A24" s="16">
        <f ca="1">合計!$A24</f>
        <v>45797</v>
      </c>
      <c r="B24" s="17" t="str">
        <f t="shared" si="0"/>
        <v/>
      </c>
      <c r="C24" s="17">
        <f t="shared" si="1"/>
        <v>0</v>
      </c>
      <c r="D24" s="17">
        <f t="shared" si="2"/>
        <v>0</v>
      </c>
      <c r="E24" s="17" t="str">
        <f t="shared" si="3"/>
        <v/>
      </c>
      <c r="F24" s="15">
        <f t="shared" si="4"/>
        <v>0</v>
      </c>
      <c r="G24" s="18" t="e">
        <f t="shared" si="5"/>
        <v>#DIV/0!</v>
      </c>
      <c r="I24" s="29">
        <f t="shared" ca="1" si="6"/>
        <v>45797</v>
      </c>
      <c r="J24" s="32"/>
      <c r="K24" s="32"/>
      <c r="V24" s="29"/>
      <c r="X24" s="33"/>
    </row>
    <row r="25" spans="1:24" x14ac:dyDescent="0.4">
      <c r="A25" s="16">
        <f ca="1">合計!$A25</f>
        <v>45798</v>
      </c>
      <c r="B25" s="17" t="str">
        <f t="shared" si="0"/>
        <v/>
      </c>
      <c r="C25" s="17">
        <f t="shared" si="1"/>
        <v>0</v>
      </c>
      <c r="D25" s="17">
        <f t="shared" si="2"/>
        <v>0</v>
      </c>
      <c r="E25" s="17" t="str">
        <f t="shared" si="3"/>
        <v/>
      </c>
      <c r="F25" s="15">
        <f t="shared" si="4"/>
        <v>0</v>
      </c>
      <c r="G25" s="18" t="e">
        <f t="shared" si="5"/>
        <v>#DIV/0!</v>
      </c>
      <c r="I25" s="29">
        <f t="shared" ca="1" si="6"/>
        <v>45798</v>
      </c>
      <c r="J25" s="31"/>
      <c r="K25" s="31"/>
      <c r="V25" s="29"/>
      <c r="X25" s="33"/>
    </row>
    <row r="26" spans="1:24" x14ac:dyDescent="0.4">
      <c r="A26" s="16">
        <f ca="1">合計!$A26</f>
        <v>45799</v>
      </c>
      <c r="B26" s="17" t="str">
        <f t="shared" si="0"/>
        <v/>
      </c>
      <c r="C26" s="17">
        <f t="shared" si="1"/>
        <v>0</v>
      </c>
      <c r="D26" s="17">
        <f t="shared" si="2"/>
        <v>0</v>
      </c>
      <c r="E26" s="17" t="str">
        <f t="shared" si="3"/>
        <v/>
      </c>
      <c r="F26" s="15">
        <f t="shared" si="4"/>
        <v>0</v>
      </c>
      <c r="G26" s="18" t="e">
        <f t="shared" si="5"/>
        <v>#DIV/0!</v>
      </c>
      <c r="I26" s="29">
        <f t="shared" ca="1" si="6"/>
        <v>45799</v>
      </c>
      <c r="J26" s="31"/>
      <c r="K26" s="31"/>
      <c r="V26" s="29"/>
    </row>
    <row r="27" spans="1:24" x14ac:dyDescent="0.4">
      <c r="A27" s="16">
        <f ca="1">合計!$A27</f>
        <v>45800</v>
      </c>
      <c r="B27" s="17" t="str">
        <f t="shared" si="0"/>
        <v/>
      </c>
      <c r="C27" s="17">
        <f t="shared" si="1"/>
        <v>0</v>
      </c>
      <c r="D27" s="17">
        <f t="shared" si="2"/>
        <v>0</v>
      </c>
      <c r="E27" s="17" t="str">
        <f t="shared" si="3"/>
        <v/>
      </c>
      <c r="F27" s="15">
        <f t="shared" si="4"/>
        <v>0</v>
      </c>
      <c r="G27" s="18" t="e">
        <f t="shared" si="5"/>
        <v>#DIV/0!</v>
      </c>
      <c r="I27" s="29">
        <f t="shared" ca="1" si="6"/>
        <v>45800</v>
      </c>
      <c r="J27" s="31"/>
      <c r="K27" s="31"/>
      <c r="V27" s="29"/>
    </row>
    <row r="28" spans="1:24" x14ac:dyDescent="0.4">
      <c r="A28" s="16">
        <f ca="1">合計!$A28</f>
        <v>45801</v>
      </c>
      <c r="B28" s="17" t="str">
        <f t="shared" si="0"/>
        <v/>
      </c>
      <c r="C28" s="17">
        <f t="shared" si="1"/>
        <v>0</v>
      </c>
      <c r="D28" s="17">
        <f t="shared" si="2"/>
        <v>0</v>
      </c>
      <c r="E28" s="17" t="str">
        <f t="shared" si="3"/>
        <v/>
      </c>
      <c r="F28" s="15">
        <f t="shared" si="4"/>
        <v>0</v>
      </c>
      <c r="G28" s="18" t="e">
        <f t="shared" si="5"/>
        <v>#DIV/0!</v>
      </c>
      <c r="I28" s="29">
        <f t="shared" ca="1" si="6"/>
        <v>45801</v>
      </c>
      <c r="J28" s="31"/>
      <c r="K28" s="31"/>
      <c r="V28" s="29"/>
    </row>
    <row r="29" spans="1:24" x14ac:dyDescent="0.4">
      <c r="A29" s="16">
        <f ca="1">合計!$A29</f>
        <v>45802</v>
      </c>
      <c r="B29" s="17" t="str">
        <f t="shared" si="0"/>
        <v/>
      </c>
      <c r="C29" s="17">
        <f t="shared" si="1"/>
        <v>0</v>
      </c>
      <c r="D29" s="17">
        <f t="shared" si="2"/>
        <v>0</v>
      </c>
      <c r="E29" s="17" t="str">
        <f t="shared" si="3"/>
        <v/>
      </c>
      <c r="F29" s="15">
        <f t="shared" si="4"/>
        <v>0</v>
      </c>
      <c r="G29" s="18" t="e">
        <f t="shared" si="5"/>
        <v>#DIV/0!</v>
      </c>
      <c r="I29" s="29">
        <f t="shared" ca="1" si="6"/>
        <v>45802</v>
      </c>
      <c r="J29" s="31"/>
      <c r="K29" s="31"/>
      <c r="V29" s="29"/>
    </row>
    <row r="30" spans="1:24" x14ac:dyDescent="0.4">
      <c r="A30" s="16">
        <f ca="1">合計!$A30</f>
        <v>45803</v>
      </c>
      <c r="B30" s="17" t="str">
        <f t="shared" si="0"/>
        <v/>
      </c>
      <c r="C30" s="17">
        <f t="shared" si="1"/>
        <v>0</v>
      </c>
      <c r="D30" s="17">
        <f t="shared" si="2"/>
        <v>0</v>
      </c>
      <c r="E30" s="17" t="str">
        <f t="shared" si="3"/>
        <v/>
      </c>
      <c r="F30" s="15">
        <f t="shared" si="4"/>
        <v>0</v>
      </c>
      <c r="G30" s="18" t="e">
        <f t="shared" si="5"/>
        <v>#DIV/0!</v>
      </c>
      <c r="I30" s="29">
        <f t="shared" ca="1" si="6"/>
        <v>45803</v>
      </c>
      <c r="J30" s="31"/>
      <c r="K30" s="31"/>
      <c r="V30" s="29"/>
    </row>
    <row r="31" spans="1:24" x14ac:dyDescent="0.4">
      <c r="A31" s="16">
        <f ca="1">合計!$A31</f>
        <v>45804</v>
      </c>
      <c r="B31" s="17" t="str">
        <f t="shared" si="0"/>
        <v/>
      </c>
      <c r="C31" s="17">
        <f t="shared" si="1"/>
        <v>0</v>
      </c>
      <c r="D31" s="17">
        <f t="shared" si="2"/>
        <v>0</v>
      </c>
      <c r="E31" s="17" t="str">
        <f t="shared" si="3"/>
        <v/>
      </c>
      <c r="F31" s="15">
        <f t="shared" si="4"/>
        <v>0</v>
      </c>
      <c r="G31" s="18" t="e">
        <f t="shared" si="5"/>
        <v>#DIV/0!</v>
      </c>
      <c r="I31" s="29">
        <f t="shared" ca="1" si="6"/>
        <v>45804</v>
      </c>
      <c r="J31" s="30"/>
      <c r="K31" s="30"/>
      <c r="V31" s="29"/>
    </row>
    <row r="32" spans="1:24" x14ac:dyDescent="0.4">
      <c r="A32" s="16">
        <f ca="1">合計!$A32</f>
        <v>45805</v>
      </c>
      <c r="B32" s="17" t="str">
        <f t="shared" si="0"/>
        <v/>
      </c>
      <c r="C32" s="17">
        <f t="shared" si="1"/>
        <v>0</v>
      </c>
      <c r="D32" s="17">
        <f t="shared" si="2"/>
        <v>0</v>
      </c>
      <c r="E32" s="17" t="str">
        <f t="shared" si="3"/>
        <v/>
      </c>
      <c r="F32" s="15">
        <f t="shared" si="4"/>
        <v>0</v>
      </c>
      <c r="G32" s="18" t="e">
        <f t="shared" si="5"/>
        <v>#DIV/0!</v>
      </c>
      <c r="I32" s="29">
        <f t="shared" ca="1" si="6"/>
        <v>45805</v>
      </c>
      <c r="J32" s="32"/>
      <c r="K32" s="32"/>
      <c r="V32" s="29"/>
    </row>
    <row r="33" spans="1:22" x14ac:dyDescent="0.4">
      <c r="A33" s="16">
        <f ca="1">合計!$A33</f>
        <v>45806</v>
      </c>
      <c r="B33" s="17" t="str">
        <f t="shared" si="0"/>
        <v/>
      </c>
      <c r="C33" s="17">
        <f t="shared" si="1"/>
        <v>0</v>
      </c>
      <c r="D33" s="17">
        <f t="shared" si="2"/>
        <v>0</v>
      </c>
      <c r="E33" s="17" t="str">
        <f t="shared" si="3"/>
        <v/>
      </c>
      <c r="F33" s="15">
        <f t="shared" si="4"/>
        <v>0</v>
      </c>
      <c r="G33" s="18" t="e">
        <f t="shared" si="5"/>
        <v>#DIV/0!</v>
      </c>
      <c r="I33" s="29">
        <f t="shared" ca="1" si="6"/>
        <v>45806</v>
      </c>
      <c r="J33" s="32"/>
      <c r="K33" s="32"/>
      <c r="V33" s="29"/>
    </row>
    <row r="34" spans="1:22" x14ac:dyDescent="0.4">
      <c r="A34" s="16">
        <f ca="1">合計!$A34</f>
        <v>45807</v>
      </c>
      <c r="B34" s="17" t="str">
        <f t="shared" si="0"/>
        <v/>
      </c>
      <c r="C34" s="17">
        <f t="shared" si="1"/>
        <v>0</v>
      </c>
      <c r="D34" s="17">
        <f t="shared" si="2"/>
        <v>0</v>
      </c>
      <c r="E34" s="17" t="str">
        <f t="shared" si="3"/>
        <v/>
      </c>
      <c r="F34" s="15">
        <f t="shared" si="4"/>
        <v>0</v>
      </c>
      <c r="G34" s="18" t="e">
        <f t="shared" si="5"/>
        <v>#DIV/0!</v>
      </c>
      <c r="I34" s="29">
        <f t="shared" ca="1" si="6"/>
        <v>45807</v>
      </c>
      <c r="J34" s="32"/>
      <c r="K34" s="32"/>
      <c r="V34" s="29"/>
    </row>
    <row r="35" spans="1:22" x14ac:dyDescent="0.4">
      <c r="A35" s="16">
        <f ca="1">合計!$A35</f>
        <v>45808</v>
      </c>
      <c r="B35" s="17" t="str">
        <f t="shared" si="0"/>
        <v/>
      </c>
      <c r="C35" s="17">
        <f t="shared" si="1"/>
        <v>0</v>
      </c>
      <c r="D35" s="17">
        <f t="shared" si="2"/>
        <v>0</v>
      </c>
      <c r="E35" s="17" t="str">
        <f t="shared" si="3"/>
        <v/>
      </c>
      <c r="F35" s="15">
        <f t="shared" si="4"/>
        <v>0</v>
      </c>
      <c r="G35" s="18" t="e">
        <f t="shared" si="5"/>
        <v>#DIV/0!</v>
      </c>
      <c r="I35" s="29">
        <f t="shared" ca="1" si="6"/>
        <v>45808</v>
      </c>
      <c r="J35" s="31"/>
      <c r="K35" s="31"/>
      <c r="V35" s="29"/>
    </row>
    <row r="36" spans="1:22" x14ac:dyDescent="0.4">
      <c r="A36" s="21" t="s">
        <v>24</v>
      </c>
      <c r="B36" s="17">
        <f>SUM(B5:B35)</f>
        <v>0</v>
      </c>
      <c r="C36" s="17">
        <f>B36/1.1</f>
        <v>0</v>
      </c>
      <c r="D36" s="17">
        <f>SUM(D5:D35)</f>
        <v>0</v>
      </c>
      <c r="E36" s="17">
        <f>D36*1.1</f>
        <v>0</v>
      </c>
      <c r="F36" s="15">
        <f>D36-C36</f>
        <v>0</v>
      </c>
      <c r="G36" s="18" t="e">
        <f t="shared" si="5"/>
        <v>#DIV/0!</v>
      </c>
    </row>
    <row r="611" spans="10:11" x14ac:dyDescent="0.4">
      <c r="J611">
        <v>7235</v>
      </c>
      <c r="K611">
        <v>6350.79</v>
      </c>
    </row>
    <row r="705" spans="10:11" x14ac:dyDescent="0.4">
      <c r="J705">
        <v>106</v>
      </c>
      <c r="K705">
        <v>79.5</v>
      </c>
    </row>
    <row r="813" spans="10:11" x14ac:dyDescent="0.4">
      <c r="J813">
        <v>14410</v>
      </c>
      <c r="K813">
        <v>6716.9089999999997</v>
      </c>
    </row>
  </sheetData>
  <mergeCells count="1">
    <mergeCell ref="B2:G3"/>
  </mergeCells>
  <phoneticPr fontId="3"/>
  <conditionalFormatting sqref="A5:A35">
    <cfRule type="expression" dxfId="3" priority="1">
      <formula>WEEKDAY(A5)=7</formula>
    </cfRule>
    <cfRule type="expression" dxfId="2" priority="2">
      <formula>WEEKDAY(A5)=1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Y813"/>
  <sheetViews>
    <sheetView workbookViewId="0"/>
  </sheetViews>
  <sheetFormatPr defaultColWidth="9" defaultRowHeight="15.75" x14ac:dyDescent="0.4"/>
  <cols>
    <col min="1" max="1" width="10" style="1" bestFit="1" customWidth="1"/>
    <col min="2" max="2" width="10.375" style="1" bestFit="1" customWidth="1"/>
    <col min="3" max="3" width="13.875" style="1" customWidth="1"/>
    <col min="4" max="4" width="9" style="1" bestFit="1"/>
    <col min="5" max="5" width="8.125" style="1" customWidth="1"/>
    <col min="6" max="6" width="9.375" style="1" bestFit="1" customWidth="1"/>
    <col min="7" max="7" width="8.125" style="1" bestFit="1" customWidth="1"/>
    <col min="8" max="8" width="5.375" style="1" customWidth="1"/>
    <col min="9" max="9" width="3" style="1" customWidth="1"/>
    <col min="10" max="10" width="3.25" style="1" bestFit="1" customWidth="1"/>
    <col min="11" max="11" width="11.625" style="1" customWidth="1"/>
    <col min="12" max="12" width="3.25" style="1" customWidth="1"/>
    <col min="13" max="13" width="11.5" style="1" customWidth="1"/>
    <col min="14" max="14" width="3.25" style="1" customWidth="1"/>
    <col min="15" max="15" width="11.5" style="1" customWidth="1"/>
    <col min="16" max="16" width="3.25" style="1" bestFit="1" customWidth="1"/>
    <col min="17" max="17" width="11.625" style="1" customWidth="1"/>
    <col min="18" max="18" width="3.25" style="1" customWidth="1"/>
    <col min="19" max="19" width="11.5" style="1" customWidth="1"/>
    <col min="20" max="16384" width="9" style="1"/>
  </cols>
  <sheetData>
    <row r="1" spans="1:25" ht="16.5" thickBot="1" x14ac:dyDescent="0.45">
      <c r="A1" s="1" t="s">
        <v>0</v>
      </c>
    </row>
    <row r="2" spans="1:25" ht="27.75" customHeight="1" thickBot="1" x14ac:dyDescent="0.45">
      <c r="A2" s="2"/>
      <c r="B2" s="127" t="s">
        <v>1</v>
      </c>
      <c r="C2" s="127"/>
      <c r="D2" s="127"/>
      <c r="E2" s="127"/>
      <c r="F2" s="127"/>
      <c r="G2" s="127"/>
      <c r="H2" s="3"/>
      <c r="J2" s="89" t="s">
        <v>2</v>
      </c>
      <c r="K2" s="90" t="s">
        <v>3</v>
      </c>
      <c r="L2" s="6" t="s">
        <v>4</v>
      </c>
      <c r="M2" s="7" t="s">
        <v>106</v>
      </c>
      <c r="N2" s="4"/>
      <c r="O2" s="5" t="s">
        <v>5</v>
      </c>
      <c r="P2" s="8" t="s">
        <v>6</v>
      </c>
      <c r="Q2" s="7" t="s">
        <v>7</v>
      </c>
      <c r="R2" s="4" t="s">
        <v>8</v>
      </c>
      <c r="S2" s="5" t="s">
        <v>9</v>
      </c>
    </row>
    <row r="3" spans="1:25" x14ac:dyDescent="0.4">
      <c r="A3" s="2"/>
      <c r="B3" s="9"/>
      <c r="C3" s="9"/>
      <c r="D3" s="9"/>
      <c r="E3" s="9"/>
      <c r="F3" s="9"/>
      <c r="G3" s="10"/>
      <c r="H3" s="11"/>
      <c r="J3" s="87">
        <f>SUM(J5:J35)</f>
        <v>0</v>
      </c>
      <c r="K3" s="88">
        <v>11000</v>
      </c>
      <c r="L3" s="12">
        <f>SUM(L5:L35)</f>
        <v>0</v>
      </c>
      <c r="M3" s="13">
        <v>8000</v>
      </c>
      <c r="N3" s="12">
        <f>SUM(N5:N35)</f>
        <v>0</v>
      </c>
      <c r="O3" s="13">
        <v>28000</v>
      </c>
      <c r="P3" s="12">
        <f>SUM(P5:P35)</f>
        <v>0</v>
      </c>
      <c r="Q3" s="13">
        <v>9500</v>
      </c>
      <c r="R3" s="12">
        <f>SUM(R5:R35)</f>
        <v>0</v>
      </c>
      <c r="S3" s="13"/>
      <c r="U3" s="1">
        <v>1046</v>
      </c>
      <c r="V3" s="1">
        <v>2577</v>
      </c>
      <c r="W3" s="1">
        <v>2523</v>
      </c>
      <c r="X3" s="1">
        <v>2816</v>
      </c>
    </row>
    <row r="4" spans="1:25" ht="19.5" thickBot="1" x14ac:dyDescent="0.45">
      <c r="A4" s="2"/>
      <c r="B4" s="2" t="s">
        <v>10</v>
      </c>
      <c r="C4" s="14" t="s">
        <v>11</v>
      </c>
      <c r="D4" s="14" t="s">
        <v>12</v>
      </c>
      <c r="E4" s="2" t="s">
        <v>13</v>
      </c>
      <c r="F4" s="15" t="s">
        <v>14</v>
      </c>
      <c r="G4" s="2" t="s">
        <v>15</v>
      </c>
      <c r="H4" s="2" t="s">
        <v>16</v>
      </c>
      <c r="J4" s="12" t="s">
        <v>17</v>
      </c>
      <c r="K4" s="76" t="s">
        <v>18</v>
      </c>
      <c r="L4" s="12" t="s">
        <v>17</v>
      </c>
      <c r="M4" s="76" t="s">
        <v>18</v>
      </c>
      <c r="N4" s="12" t="s">
        <v>17</v>
      </c>
      <c r="O4" s="76" t="s">
        <v>18</v>
      </c>
      <c r="P4" s="12" t="s">
        <v>17</v>
      </c>
      <c r="Q4" s="76" t="s">
        <v>18</v>
      </c>
      <c r="R4" s="12" t="s">
        <v>17</v>
      </c>
      <c r="S4" s="67" t="s">
        <v>19</v>
      </c>
      <c r="U4" t="s">
        <v>20</v>
      </c>
      <c r="V4" t="s">
        <v>21</v>
      </c>
      <c r="W4" s="1" t="s">
        <v>22</v>
      </c>
      <c r="X4" s="1" t="s">
        <v>23</v>
      </c>
    </row>
    <row r="5" spans="1:25" ht="18.75" x14ac:dyDescent="0.2">
      <c r="A5" s="16">
        <f ca="1">合計!$A5</f>
        <v>45778</v>
      </c>
      <c r="B5" s="17"/>
      <c r="C5" s="17">
        <f t="shared" ref="C5:C35" si="0">B5/1.1</f>
        <v>0</v>
      </c>
      <c r="D5" s="17">
        <f>IFERROR(K5+M5+O5+T5+Q5+S5+U5,0)</f>
        <v>0</v>
      </c>
      <c r="E5" s="17">
        <f>D5*1.1</f>
        <v>0</v>
      </c>
      <c r="F5" s="15">
        <f>D5-C5</f>
        <v>0</v>
      </c>
      <c r="G5" s="18" t="e">
        <f>D5/C5</f>
        <v>#DIV/0!</v>
      </c>
      <c r="H5" s="19"/>
      <c r="J5" s="65"/>
      <c r="K5" s="86"/>
      <c r="L5" s="74"/>
      <c r="M5" s="68"/>
      <c r="N5" s="74"/>
      <c r="O5" s="83"/>
      <c r="P5" s="74"/>
      <c r="Q5" s="78"/>
      <c r="R5" s="74"/>
      <c r="S5" s="68"/>
      <c r="T5" s="35"/>
      <c r="U5" s="33"/>
      <c r="V5" s="20"/>
      <c r="W5" s="20"/>
      <c r="X5" s="20"/>
      <c r="Y5" s="20"/>
    </row>
    <row r="6" spans="1:25" ht="18.75" x14ac:dyDescent="0.2">
      <c r="A6" s="16">
        <f ca="1">合計!$A6</f>
        <v>45779</v>
      </c>
      <c r="B6" s="17"/>
      <c r="C6" s="17">
        <f t="shared" si="0"/>
        <v>0</v>
      </c>
      <c r="D6" s="17">
        <f t="shared" ref="D6:D35" si="1">IFERROR(K6+M6+O6+T6+Q6+S6+U6,0)</f>
        <v>0</v>
      </c>
      <c r="E6" s="17">
        <f t="shared" ref="E6:E36" si="2">D6*1.1</f>
        <v>0</v>
      </c>
      <c r="F6" s="15">
        <f t="shared" ref="F6:F35" si="3">D6-C6</f>
        <v>0</v>
      </c>
      <c r="G6" s="18" t="e">
        <f t="shared" ref="G6:G35" si="4">D6/C6</f>
        <v>#DIV/0!</v>
      </c>
      <c r="H6" s="19"/>
      <c r="J6" s="65"/>
      <c r="K6" s="81"/>
      <c r="L6" s="74"/>
      <c r="M6" s="69"/>
      <c r="N6" s="74"/>
      <c r="O6" s="69"/>
      <c r="P6" s="74"/>
      <c r="Q6" s="79"/>
      <c r="R6" s="74"/>
      <c r="S6" s="69"/>
      <c r="T6" s="35"/>
      <c r="U6" s="33"/>
      <c r="V6" s="20"/>
      <c r="W6" s="20"/>
      <c r="X6" s="20"/>
      <c r="Y6" s="20"/>
    </row>
    <row r="7" spans="1:25" ht="18.75" x14ac:dyDescent="0.2">
      <c r="A7" s="16">
        <f ca="1">合計!$A7</f>
        <v>45780</v>
      </c>
      <c r="B7" s="17"/>
      <c r="C7" s="17">
        <f t="shared" si="0"/>
        <v>0</v>
      </c>
      <c r="D7" s="17">
        <f t="shared" si="1"/>
        <v>0</v>
      </c>
      <c r="E7" s="17">
        <f t="shared" si="2"/>
        <v>0</v>
      </c>
      <c r="F7" s="15">
        <f t="shared" si="3"/>
        <v>0</v>
      </c>
      <c r="G7" s="18" t="e">
        <f t="shared" si="4"/>
        <v>#DIV/0!</v>
      </c>
      <c r="H7" s="19"/>
      <c r="J7" s="65"/>
      <c r="K7" s="81"/>
      <c r="L7" s="74"/>
      <c r="M7" s="69"/>
      <c r="N7" s="74"/>
      <c r="O7" s="81"/>
      <c r="P7" s="74"/>
      <c r="Q7" s="79"/>
      <c r="R7" s="74"/>
      <c r="S7" s="69"/>
      <c r="T7" s="35"/>
      <c r="U7" s="35"/>
      <c r="V7" s="20"/>
      <c r="W7" s="20"/>
      <c r="X7" s="20"/>
      <c r="Y7" s="20"/>
    </row>
    <row r="8" spans="1:25" ht="18.75" x14ac:dyDescent="0.2">
      <c r="A8" s="16">
        <f ca="1">合計!$A8</f>
        <v>45781</v>
      </c>
      <c r="B8" s="17"/>
      <c r="C8" s="17">
        <f>B8/1.1</f>
        <v>0</v>
      </c>
      <c r="D8" s="17">
        <f t="shared" si="1"/>
        <v>0</v>
      </c>
      <c r="E8" s="17">
        <f>D8*1.1</f>
        <v>0</v>
      </c>
      <c r="F8" s="15">
        <f>D8-C8</f>
        <v>0</v>
      </c>
      <c r="G8" s="18" t="e">
        <f t="shared" si="4"/>
        <v>#DIV/0!</v>
      </c>
      <c r="H8" s="19"/>
      <c r="J8" s="65"/>
      <c r="K8" s="81"/>
      <c r="L8" s="74"/>
      <c r="M8" s="69"/>
      <c r="N8" s="74"/>
      <c r="O8" s="81"/>
      <c r="P8" s="74"/>
      <c r="Q8" s="79"/>
      <c r="R8" s="74"/>
      <c r="S8" s="69"/>
      <c r="T8" s="35"/>
      <c r="U8" s="35"/>
      <c r="V8" s="20"/>
      <c r="W8" s="20"/>
      <c r="X8" s="20"/>
      <c r="Y8" s="20"/>
    </row>
    <row r="9" spans="1:25" ht="18.75" x14ac:dyDescent="0.2">
      <c r="A9" s="16">
        <f ca="1">合計!$A9</f>
        <v>45782</v>
      </c>
      <c r="B9" s="17"/>
      <c r="C9" s="17">
        <f t="shared" si="0"/>
        <v>0</v>
      </c>
      <c r="D9" s="17">
        <f t="shared" si="1"/>
        <v>0</v>
      </c>
      <c r="E9" s="17">
        <f t="shared" si="2"/>
        <v>0</v>
      </c>
      <c r="F9" s="15">
        <f t="shared" si="3"/>
        <v>0</v>
      </c>
      <c r="G9" s="18" t="e">
        <f t="shared" si="4"/>
        <v>#DIV/0!</v>
      </c>
      <c r="H9" s="19"/>
      <c r="J9" s="65"/>
      <c r="K9" s="81"/>
      <c r="L9" s="74"/>
      <c r="M9" s="69"/>
      <c r="N9" s="74"/>
      <c r="O9" s="81"/>
      <c r="P9" s="74"/>
      <c r="Q9" s="79"/>
      <c r="R9" s="74"/>
      <c r="S9" s="69"/>
      <c r="T9" s="35"/>
      <c r="U9" s="35"/>
      <c r="V9" s="20"/>
      <c r="W9" s="20"/>
      <c r="X9" s="20"/>
      <c r="Y9" s="20"/>
    </row>
    <row r="10" spans="1:25" ht="18.75" x14ac:dyDescent="0.2">
      <c r="A10" s="16">
        <f ca="1">合計!$A10</f>
        <v>45783</v>
      </c>
      <c r="B10" s="17"/>
      <c r="C10" s="17">
        <f t="shared" si="0"/>
        <v>0</v>
      </c>
      <c r="D10" s="17">
        <f t="shared" si="1"/>
        <v>0</v>
      </c>
      <c r="E10" s="17">
        <f t="shared" si="2"/>
        <v>0</v>
      </c>
      <c r="F10" s="15">
        <f t="shared" si="3"/>
        <v>0</v>
      </c>
      <c r="G10" s="18" t="e">
        <f t="shared" si="4"/>
        <v>#DIV/0!</v>
      </c>
      <c r="H10" s="19"/>
      <c r="J10" s="65"/>
      <c r="K10" s="81"/>
      <c r="L10" s="74"/>
      <c r="M10" s="69"/>
      <c r="N10" s="74"/>
      <c r="O10" s="84"/>
      <c r="P10" s="74"/>
      <c r="Q10" s="79"/>
      <c r="R10" s="74"/>
      <c r="S10" s="69"/>
      <c r="T10" s="35"/>
      <c r="U10" s="35"/>
      <c r="V10" s="20"/>
      <c r="W10" s="20"/>
      <c r="X10" s="20"/>
      <c r="Y10" s="20"/>
    </row>
    <row r="11" spans="1:25" ht="18.75" x14ac:dyDescent="0.2">
      <c r="A11" s="16">
        <f ca="1">合計!$A11</f>
        <v>45784</v>
      </c>
      <c r="B11" s="17"/>
      <c r="C11" s="17">
        <f t="shared" si="0"/>
        <v>0</v>
      </c>
      <c r="D11" s="17">
        <f t="shared" si="1"/>
        <v>0</v>
      </c>
      <c r="E11" s="17">
        <f t="shared" si="2"/>
        <v>0</v>
      </c>
      <c r="F11" s="15">
        <f t="shared" si="3"/>
        <v>0</v>
      </c>
      <c r="G11" s="18" t="e">
        <f t="shared" si="4"/>
        <v>#DIV/0!</v>
      </c>
      <c r="H11" s="19"/>
      <c r="J11" s="65"/>
      <c r="K11" s="70"/>
      <c r="L11" s="74"/>
      <c r="M11" s="81"/>
      <c r="N11" s="74"/>
      <c r="O11" s="84"/>
      <c r="P11" s="74"/>
      <c r="Q11" s="79"/>
      <c r="R11" s="74"/>
      <c r="S11" s="70"/>
      <c r="T11" s="20"/>
      <c r="U11" s="35"/>
      <c r="V11" s="20"/>
      <c r="W11" s="20"/>
      <c r="X11" s="20"/>
      <c r="Y11" s="20"/>
    </row>
    <row r="12" spans="1:25" ht="18.75" x14ac:dyDescent="0.2">
      <c r="A12" s="16">
        <f ca="1">合計!$A12</f>
        <v>45785</v>
      </c>
      <c r="B12" s="17"/>
      <c r="C12" s="17">
        <f t="shared" si="0"/>
        <v>0</v>
      </c>
      <c r="D12" s="17">
        <f t="shared" si="1"/>
        <v>0</v>
      </c>
      <c r="E12" s="17">
        <f t="shared" si="2"/>
        <v>0</v>
      </c>
      <c r="F12" s="15">
        <f t="shared" si="3"/>
        <v>0</v>
      </c>
      <c r="G12" s="18" t="e">
        <f t="shared" si="4"/>
        <v>#DIV/0!</v>
      </c>
      <c r="H12" s="19"/>
      <c r="J12" s="65"/>
      <c r="K12" s="70"/>
      <c r="L12" s="74"/>
      <c r="M12" s="81"/>
      <c r="N12" s="74"/>
      <c r="O12" s="79"/>
      <c r="P12" s="74"/>
      <c r="Q12" s="79"/>
      <c r="R12" s="74"/>
      <c r="S12" s="70"/>
      <c r="T12" s="20"/>
      <c r="U12" s="35"/>
      <c r="V12" s="20"/>
      <c r="W12" s="20"/>
      <c r="X12" s="20"/>
      <c r="Y12" s="20"/>
    </row>
    <row r="13" spans="1:25" ht="18.75" x14ac:dyDescent="0.2">
      <c r="A13" s="16">
        <f ca="1">合計!$A13</f>
        <v>45786</v>
      </c>
      <c r="B13" s="17"/>
      <c r="C13" s="17">
        <f t="shared" si="0"/>
        <v>0</v>
      </c>
      <c r="D13" s="17">
        <f t="shared" si="1"/>
        <v>0</v>
      </c>
      <c r="E13" s="17">
        <f t="shared" si="2"/>
        <v>0</v>
      </c>
      <c r="F13" s="15">
        <f t="shared" si="3"/>
        <v>0</v>
      </c>
      <c r="G13" s="18" t="e">
        <f t="shared" si="4"/>
        <v>#DIV/0!</v>
      </c>
      <c r="H13" s="19"/>
      <c r="J13" s="65"/>
      <c r="K13" s="70"/>
      <c r="L13" s="74"/>
      <c r="M13" s="69"/>
      <c r="N13" s="74"/>
      <c r="O13" s="79"/>
      <c r="P13" s="74"/>
      <c r="Q13" s="79"/>
      <c r="R13" s="74"/>
      <c r="S13" s="69"/>
      <c r="T13" s="35"/>
      <c r="U13" s="35"/>
      <c r="V13" s="20"/>
      <c r="W13" s="20"/>
      <c r="X13" s="20"/>
      <c r="Y13" s="20"/>
    </row>
    <row r="14" spans="1:25" ht="18.75" x14ac:dyDescent="0.2">
      <c r="A14" s="16">
        <f ca="1">合計!$A14</f>
        <v>45787</v>
      </c>
      <c r="B14" s="17"/>
      <c r="C14" s="17">
        <f t="shared" si="0"/>
        <v>0</v>
      </c>
      <c r="D14" s="17">
        <f t="shared" si="1"/>
        <v>0</v>
      </c>
      <c r="E14" s="17">
        <f t="shared" si="2"/>
        <v>0</v>
      </c>
      <c r="F14" s="15">
        <f t="shared" si="3"/>
        <v>0</v>
      </c>
      <c r="G14" s="18" t="e">
        <f t="shared" si="4"/>
        <v>#DIV/0!</v>
      </c>
      <c r="H14" s="19"/>
      <c r="J14" s="65"/>
      <c r="K14" s="70"/>
      <c r="L14" s="74"/>
      <c r="M14" s="69"/>
      <c r="N14" s="74"/>
      <c r="O14" s="79"/>
      <c r="P14" s="74"/>
      <c r="Q14" s="79"/>
      <c r="R14" s="74"/>
      <c r="S14" s="69"/>
      <c r="T14" s="35"/>
      <c r="U14" s="35"/>
      <c r="V14" s="20"/>
      <c r="W14" s="20"/>
      <c r="X14" s="20"/>
      <c r="Y14" s="20"/>
    </row>
    <row r="15" spans="1:25" ht="18.75" x14ac:dyDescent="0.2">
      <c r="A15" s="16">
        <f ca="1">合計!$A15</f>
        <v>45788</v>
      </c>
      <c r="B15" s="34"/>
      <c r="C15" s="17">
        <f t="shared" si="0"/>
        <v>0</v>
      </c>
      <c r="D15" s="17">
        <f t="shared" si="1"/>
        <v>0</v>
      </c>
      <c r="E15" s="17">
        <f t="shared" si="2"/>
        <v>0</v>
      </c>
      <c r="F15" s="15">
        <f t="shared" si="3"/>
        <v>0</v>
      </c>
      <c r="G15" s="18" t="e">
        <f t="shared" si="4"/>
        <v>#DIV/0!</v>
      </c>
      <c r="H15" s="19"/>
      <c r="J15" s="65"/>
      <c r="K15" s="70"/>
      <c r="L15" s="74"/>
      <c r="M15" s="69"/>
      <c r="N15" s="74"/>
      <c r="O15" s="79"/>
      <c r="P15" s="74"/>
      <c r="Q15" s="79"/>
      <c r="R15" s="74"/>
      <c r="S15" s="69"/>
      <c r="T15" s="35"/>
      <c r="U15" s="35"/>
      <c r="V15" s="20"/>
      <c r="W15" s="20"/>
      <c r="X15" s="20"/>
      <c r="Y15" s="20"/>
    </row>
    <row r="16" spans="1:25" ht="18.75" x14ac:dyDescent="0.2">
      <c r="A16" s="16">
        <f ca="1">合計!$A16</f>
        <v>45789</v>
      </c>
      <c r="B16" s="17"/>
      <c r="C16" s="17">
        <f t="shared" si="0"/>
        <v>0</v>
      </c>
      <c r="D16" s="17">
        <f t="shared" si="1"/>
        <v>0</v>
      </c>
      <c r="E16" s="17">
        <f t="shared" si="2"/>
        <v>0</v>
      </c>
      <c r="F16" s="15">
        <f t="shared" si="3"/>
        <v>0</v>
      </c>
      <c r="G16" s="18" t="e">
        <f t="shared" si="4"/>
        <v>#DIV/0!</v>
      </c>
      <c r="H16" s="19"/>
      <c r="J16" s="65"/>
      <c r="K16" s="70"/>
      <c r="L16" s="74"/>
      <c r="M16" s="69"/>
      <c r="N16" s="74"/>
      <c r="O16" s="79"/>
      <c r="P16" s="74"/>
      <c r="Q16" s="79"/>
      <c r="R16" s="74"/>
      <c r="S16" s="69"/>
      <c r="T16" s="35"/>
      <c r="U16" s="35"/>
      <c r="V16" s="20"/>
      <c r="W16" s="20"/>
      <c r="X16" s="20"/>
      <c r="Y16" s="20"/>
    </row>
    <row r="17" spans="1:25" ht="18.75" x14ac:dyDescent="0.2">
      <c r="A17" s="16">
        <f ca="1">合計!$A17</f>
        <v>45790</v>
      </c>
      <c r="B17" s="17"/>
      <c r="C17" s="17">
        <f t="shared" si="0"/>
        <v>0</v>
      </c>
      <c r="D17" s="17">
        <f t="shared" si="1"/>
        <v>0</v>
      </c>
      <c r="E17" s="17">
        <f t="shared" si="2"/>
        <v>0</v>
      </c>
      <c r="F17" s="15">
        <f t="shared" si="3"/>
        <v>0</v>
      </c>
      <c r="G17" s="18" t="e">
        <f t="shared" si="4"/>
        <v>#DIV/0!</v>
      </c>
      <c r="H17" s="19"/>
      <c r="J17" s="65"/>
      <c r="K17" s="70"/>
      <c r="L17" s="74"/>
      <c r="M17" s="69"/>
      <c r="N17" s="74"/>
      <c r="O17" s="79"/>
      <c r="P17" s="74"/>
      <c r="Q17" s="79"/>
      <c r="R17" s="74"/>
      <c r="S17" s="69"/>
      <c r="T17" s="35"/>
      <c r="U17" s="35"/>
      <c r="V17" s="20"/>
      <c r="W17" s="20"/>
      <c r="X17" s="20"/>
      <c r="Y17" s="20"/>
    </row>
    <row r="18" spans="1:25" ht="18.75" x14ac:dyDescent="0.2">
      <c r="A18" s="16">
        <f ca="1">合計!$A18</f>
        <v>45791</v>
      </c>
      <c r="B18" s="17"/>
      <c r="C18" s="17">
        <f t="shared" si="0"/>
        <v>0</v>
      </c>
      <c r="D18" s="17">
        <f t="shared" si="1"/>
        <v>0</v>
      </c>
      <c r="E18" s="17">
        <f t="shared" si="2"/>
        <v>0</v>
      </c>
      <c r="F18" s="15">
        <f t="shared" si="3"/>
        <v>0</v>
      </c>
      <c r="G18" s="18" t="e">
        <f t="shared" si="4"/>
        <v>#DIV/0!</v>
      </c>
      <c r="H18" s="19"/>
      <c r="J18" s="65"/>
      <c r="K18" s="70"/>
      <c r="L18" s="74"/>
      <c r="M18" s="69"/>
      <c r="N18" s="74"/>
      <c r="O18" s="79"/>
      <c r="P18" s="74"/>
      <c r="Q18" s="79"/>
      <c r="R18" s="74"/>
      <c r="S18" s="70"/>
      <c r="T18" s="20"/>
      <c r="U18" s="35"/>
      <c r="V18" s="20"/>
      <c r="W18" s="20"/>
      <c r="X18" s="20"/>
      <c r="Y18" s="20"/>
    </row>
    <row r="19" spans="1:25" ht="18.75" x14ac:dyDescent="0.2">
      <c r="A19" s="16">
        <f ca="1">合計!$A19</f>
        <v>45792</v>
      </c>
      <c r="B19" s="17"/>
      <c r="C19" s="17">
        <f t="shared" si="0"/>
        <v>0</v>
      </c>
      <c r="D19" s="17">
        <f t="shared" si="1"/>
        <v>0</v>
      </c>
      <c r="E19" s="17">
        <f t="shared" si="2"/>
        <v>0</v>
      </c>
      <c r="F19" s="15">
        <f t="shared" si="3"/>
        <v>0</v>
      </c>
      <c r="G19" s="18" t="e">
        <f t="shared" si="4"/>
        <v>#DIV/0!</v>
      </c>
      <c r="H19" s="19"/>
      <c r="J19" s="65"/>
      <c r="K19" s="70"/>
      <c r="L19" s="74"/>
      <c r="M19" s="69"/>
      <c r="N19" s="74"/>
      <c r="O19" s="79"/>
      <c r="P19" s="74"/>
      <c r="Q19" s="80"/>
      <c r="R19" s="74"/>
      <c r="S19" s="70"/>
      <c r="T19" s="20"/>
      <c r="U19" s="35"/>
      <c r="V19" s="20"/>
      <c r="W19" s="20"/>
      <c r="X19" s="20"/>
      <c r="Y19" s="20"/>
    </row>
    <row r="20" spans="1:25" ht="18.75" x14ac:dyDescent="0.2">
      <c r="A20" s="16">
        <f ca="1">合計!$A20</f>
        <v>45793</v>
      </c>
      <c r="B20" s="17"/>
      <c r="C20" s="17">
        <f t="shared" si="0"/>
        <v>0</v>
      </c>
      <c r="D20" s="17">
        <f t="shared" si="1"/>
        <v>0</v>
      </c>
      <c r="E20" s="17">
        <f t="shared" si="2"/>
        <v>0</v>
      </c>
      <c r="F20" s="15">
        <f t="shared" si="3"/>
        <v>0</v>
      </c>
      <c r="G20" s="18" t="e">
        <f t="shared" si="4"/>
        <v>#DIV/0!</v>
      </c>
      <c r="H20" s="19"/>
      <c r="J20" s="65"/>
      <c r="K20" s="70"/>
      <c r="L20" s="74"/>
      <c r="M20" s="69"/>
      <c r="N20" s="74"/>
      <c r="O20" s="79"/>
      <c r="P20" s="74"/>
      <c r="Q20" s="81"/>
      <c r="R20" s="74"/>
      <c r="S20" s="69"/>
      <c r="T20" s="20"/>
      <c r="U20" s="35"/>
      <c r="V20" s="20"/>
      <c r="W20" s="20"/>
      <c r="X20" s="20"/>
      <c r="Y20" s="20"/>
    </row>
    <row r="21" spans="1:25" ht="18.75" x14ac:dyDescent="0.2">
      <c r="A21" s="16">
        <f ca="1">合計!$A21</f>
        <v>45794</v>
      </c>
      <c r="B21" s="34"/>
      <c r="C21" s="17">
        <f t="shared" si="0"/>
        <v>0</v>
      </c>
      <c r="D21" s="17">
        <f t="shared" si="1"/>
        <v>0</v>
      </c>
      <c r="E21" s="17">
        <f t="shared" si="2"/>
        <v>0</v>
      </c>
      <c r="F21" s="15">
        <f t="shared" si="3"/>
        <v>0</v>
      </c>
      <c r="G21" s="18" t="e">
        <f t="shared" si="4"/>
        <v>#DIV/0!</v>
      </c>
      <c r="H21" s="19"/>
      <c r="J21" s="65"/>
      <c r="K21" s="81"/>
      <c r="L21" s="74"/>
      <c r="M21" s="69"/>
      <c r="N21" s="74"/>
      <c r="O21" s="79"/>
      <c r="P21" s="74"/>
      <c r="Q21" s="81"/>
      <c r="R21" s="74"/>
      <c r="S21" s="69"/>
      <c r="T21" s="20"/>
      <c r="U21" s="35"/>
      <c r="V21" s="20"/>
      <c r="W21" s="20"/>
      <c r="X21" s="20"/>
      <c r="Y21" s="20"/>
    </row>
    <row r="22" spans="1:25" ht="18.75" x14ac:dyDescent="0.2">
      <c r="A22" s="16">
        <f ca="1">合計!$A22</f>
        <v>45795</v>
      </c>
      <c r="B22" s="34"/>
      <c r="C22" s="17">
        <f t="shared" si="0"/>
        <v>0</v>
      </c>
      <c r="D22" s="17">
        <f t="shared" si="1"/>
        <v>0</v>
      </c>
      <c r="E22" s="17">
        <f t="shared" si="2"/>
        <v>0</v>
      </c>
      <c r="F22" s="15">
        <f t="shared" si="3"/>
        <v>0</v>
      </c>
      <c r="G22" s="18" t="e">
        <f t="shared" si="4"/>
        <v>#DIV/0!</v>
      </c>
      <c r="H22" s="19"/>
      <c r="J22" s="65"/>
      <c r="K22" s="81"/>
      <c r="L22" s="74"/>
      <c r="M22" s="69"/>
      <c r="N22" s="74"/>
      <c r="O22" s="79"/>
      <c r="P22" s="74"/>
      <c r="Q22" s="81"/>
      <c r="R22" s="74"/>
      <c r="S22" s="69"/>
      <c r="T22" s="35"/>
      <c r="U22" s="35"/>
      <c r="V22" s="20"/>
      <c r="W22" s="20"/>
      <c r="X22" s="20"/>
      <c r="Y22" s="20"/>
    </row>
    <row r="23" spans="1:25" ht="18.75" x14ac:dyDescent="0.2">
      <c r="A23" s="16">
        <f ca="1">合計!$A23</f>
        <v>45796</v>
      </c>
      <c r="B23" s="34"/>
      <c r="C23" s="17">
        <f>B23/1.1</f>
        <v>0</v>
      </c>
      <c r="D23" s="17">
        <f t="shared" si="1"/>
        <v>0</v>
      </c>
      <c r="E23" s="17">
        <f t="shared" si="2"/>
        <v>0</v>
      </c>
      <c r="F23" s="15">
        <f t="shared" si="3"/>
        <v>0</v>
      </c>
      <c r="G23" s="18" t="e">
        <f t="shared" si="4"/>
        <v>#DIV/0!</v>
      </c>
      <c r="H23" s="19"/>
      <c r="J23" s="65"/>
      <c r="K23" s="81"/>
      <c r="L23" s="74"/>
      <c r="M23" s="69"/>
      <c r="N23" s="74"/>
      <c r="O23" s="79"/>
      <c r="P23" s="74"/>
      <c r="Q23" s="81"/>
      <c r="R23" s="74"/>
      <c r="S23" s="69"/>
      <c r="T23" s="35"/>
      <c r="U23" s="35"/>
      <c r="V23" s="20"/>
      <c r="W23" s="20"/>
      <c r="X23" s="20"/>
      <c r="Y23" s="20"/>
    </row>
    <row r="24" spans="1:25" ht="18.75" x14ac:dyDescent="0.2">
      <c r="A24" s="16">
        <f ca="1">合計!$A24</f>
        <v>45797</v>
      </c>
      <c r="B24" s="34"/>
      <c r="C24" s="17">
        <f>B24/1.1</f>
        <v>0</v>
      </c>
      <c r="D24" s="17">
        <f t="shared" si="1"/>
        <v>0</v>
      </c>
      <c r="E24" s="17">
        <f t="shared" si="2"/>
        <v>0</v>
      </c>
      <c r="F24" s="15">
        <f t="shared" si="3"/>
        <v>0</v>
      </c>
      <c r="G24" s="18" t="e">
        <f t="shared" si="4"/>
        <v>#DIV/0!</v>
      </c>
      <c r="H24" s="19"/>
      <c r="J24" s="65"/>
      <c r="K24" s="81"/>
      <c r="L24" s="74"/>
      <c r="M24" s="69"/>
      <c r="N24" s="74"/>
      <c r="O24" s="79"/>
      <c r="P24" s="74"/>
      <c r="Q24" s="81"/>
      <c r="R24" s="74"/>
      <c r="S24" s="69"/>
      <c r="T24" s="35"/>
      <c r="U24" s="35"/>
      <c r="V24" s="20"/>
      <c r="W24" s="20"/>
      <c r="X24" s="20"/>
      <c r="Y24" s="20"/>
    </row>
    <row r="25" spans="1:25" ht="13.5" customHeight="1" x14ac:dyDescent="0.2">
      <c r="A25" s="16">
        <f ca="1">合計!$A25</f>
        <v>45798</v>
      </c>
      <c r="B25" s="17"/>
      <c r="C25" s="17">
        <f t="shared" si="0"/>
        <v>0</v>
      </c>
      <c r="D25" s="17">
        <f t="shared" si="1"/>
        <v>0</v>
      </c>
      <c r="E25" s="17">
        <f t="shared" si="2"/>
        <v>0</v>
      </c>
      <c r="F25" s="15">
        <f t="shared" si="3"/>
        <v>0</v>
      </c>
      <c r="G25" s="18" t="e">
        <f t="shared" si="4"/>
        <v>#DIV/0!</v>
      </c>
      <c r="H25" s="19"/>
      <c r="J25" s="65"/>
      <c r="K25" s="81"/>
      <c r="L25" s="74"/>
      <c r="M25" s="84"/>
      <c r="N25" s="74"/>
      <c r="O25" s="79"/>
      <c r="P25" s="74"/>
      <c r="Q25" s="81"/>
      <c r="R25" s="74"/>
      <c r="S25" s="69"/>
      <c r="T25" s="20"/>
      <c r="U25" s="35"/>
      <c r="V25" s="20"/>
      <c r="W25" s="20"/>
      <c r="X25" s="20"/>
      <c r="Y25" s="20"/>
    </row>
    <row r="26" spans="1:25" ht="18.75" x14ac:dyDescent="0.2">
      <c r="A26" s="16">
        <f ca="1">合計!$A26</f>
        <v>45799</v>
      </c>
      <c r="B26" s="17"/>
      <c r="C26" s="17">
        <f t="shared" si="0"/>
        <v>0</v>
      </c>
      <c r="D26" s="17">
        <f t="shared" si="1"/>
        <v>0</v>
      </c>
      <c r="E26" s="17">
        <f t="shared" si="2"/>
        <v>0</v>
      </c>
      <c r="F26" s="15">
        <f t="shared" si="3"/>
        <v>0</v>
      </c>
      <c r="G26" s="18" t="e">
        <f t="shared" si="4"/>
        <v>#DIV/0!</v>
      </c>
      <c r="H26" s="19"/>
      <c r="J26" s="65"/>
      <c r="K26" s="81"/>
      <c r="L26" s="74"/>
      <c r="M26" s="84"/>
      <c r="N26" s="74"/>
      <c r="O26" s="79"/>
      <c r="P26" s="74"/>
      <c r="Q26" s="81"/>
      <c r="R26" s="74"/>
      <c r="S26" s="69"/>
      <c r="T26" s="20"/>
      <c r="U26" s="35"/>
      <c r="V26" s="20"/>
      <c r="W26" s="20"/>
      <c r="X26" s="20"/>
      <c r="Y26" s="20"/>
    </row>
    <row r="27" spans="1:25" ht="18.75" x14ac:dyDescent="0.2">
      <c r="A27" s="16">
        <f ca="1">合計!$A27</f>
        <v>45800</v>
      </c>
      <c r="B27" s="17"/>
      <c r="C27" s="17">
        <f t="shared" si="0"/>
        <v>0</v>
      </c>
      <c r="D27" s="17">
        <f t="shared" si="1"/>
        <v>0</v>
      </c>
      <c r="E27" s="17">
        <f t="shared" si="2"/>
        <v>0</v>
      </c>
      <c r="F27" s="15">
        <f t="shared" si="3"/>
        <v>0</v>
      </c>
      <c r="G27" s="18" t="e">
        <f t="shared" si="4"/>
        <v>#DIV/0!</v>
      </c>
      <c r="H27" s="19"/>
      <c r="J27" s="65"/>
      <c r="K27" s="81"/>
      <c r="L27" s="74"/>
      <c r="M27" s="84"/>
      <c r="N27" s="74"/>
      <c r="O27" s="79"/>
      <c r="P27" s="74"/>
      <c r="Q27" s="70"/>
      <c r="R27" s="74"/>
      <c r="S27" s="69"/>
      <c r="T27" s="20"/>
      <c r="U27" s="35"/>
      <c r="V27" s="20"/>
      <c r="W27" s="20"/>
      <c r="X27" s="20"/>
      <c r="Y27" s="20"/>
    </row>
    <row r="28" spans="1:25" ht="18.75" x14ac:dyDescent="0.2">
      <c r="A28" s="16">
        <f ca="1">合計!$A28</f>
        <v>45801</v>
      </c>
      <c r="B28" s="17"/>
      <c r="C28" s="17">
        <f t="shared" si="0"/>
        <v>0</v>
      </c>
      <c r="D28" s="17">
        <f t="shared" si="1"/>
        <v>0</v>
      </c>
      <c r="E28" s="17">
        <f t="shared" si="2"/>
        <v>0</v>
      </c>
      <c r="F28" s="15">
        <f t="shared" si="3"/>
        <v>0</v>
      </c>
      <c r="G28" s="18" t="e">
        <f t="shared" si="4"/>
        <v>#DIV/0!</v>
      </c>
      <c r="H28" s="19"/>
      <c r="J28" s="65"/>
      <c r="K28" s="81"/>
      <c r="L28" s="74"/>
      <c r="M28" s="81"/>
      <c r="N28" s="74"/>
      <c r="O28" s="79"/>
      <c r="P28" s="74"/>
      <c r="Q28" s="81"/>
      <c r="R28" s="74"/>
      <c r="S28" s="69"/>
      <c r="T28" s="35"/>
      <c r="U28" s="35"/>
      <c r="V28" s="20"/>
      <c r="W28" s="20"/>
      <c r="X28" s="20"/>
      <c r="Y28" s="20"/>
    </row>
    <row r="29" spans="1:25" ht="18.75" x14ac:dyDescent="0.2">
      <c r="A29" s="16">
        <f ca="1">合計!$A29</f>
        <v>45802</v>
      </c>
      <c r="B29" s="17"/>
      <c r="C29" s="17">
        <f>B29/1.1</f>
        <v>0</v>
      </c>
      <c r="D29" s="17">
        <f t="shared" si="1"/>
        <v>0</v>
      </c>
      <c r="E29" s="17">
        <f t="shared" si="2"/>
        <v>0</v>
      </c>
      <c r="F29" s="15">
        <f t="shared" si="3"/>
        <v>0</v>
      </c>
      <c r="G29" s="18" t="e">
        <f t="shared" si="4"/>
        <v>#DIV/0!</v>
      </c>
      <c r="H29" s="19"/>
      <c r="J29" s="65"/>
      <c r="K29" s="81"/>
      <c r="L29" s="74"/>
      <c r="M29" s="81"/>
      <c r="N29" s="74"/>
      <c r="O29" s="79"/>
      <c r="P29" s="74"/>
      <c r="Q29" s="81"/>
      <c r="R29" s="74"/>
      <c r="S29" s="69"/>
      <c r="T29" s="35"/>
      <c r="U29" s="20"/>
      <c r="V29" s="20"/>
      <c r="W29" s="20"/>
      <c r="X29" s="20"/>
      <c r="Y29" s="20"/>
    </row>
    <row r="30" spans="1:25" ht="18.75" x14ac:dyDescent="0.2">
      <c r="A30" s="16">
        <f ca="1">合計!$A30</f>
        <v>45803</v>
      </c>
      <c r="B30" s="17"/>
      <c r="C30" s="17">
        <f>B30/1.1</f>
        <v>0</v>
      </c>
      <c r="D30" s="17">
        <f t="shared" si="1"/>
        <v>0</v>
      </c>
      <c r="E30" s="17">
        <f t="shared" si="2"/>
        <v>0</v>
      </c>
      <c r="F30" s="15">
        <f>D30-C30</f>
        <v>0</v>
      </c>
      <c r="G30" s="18" t="e">
        <f>D30/C30</f>
        <v>#DIV/0!</v>
      </c>
      <c r="H30" s="19"/>
      <c r="J30" s="65"/>
      <c r="K30" s="81"/>
      <c r="L30" s="75"/>
      <c r="M30" s="81"/>
      <c r="N30" s="74"/>
      <c r="O30" s="79"/>
      <c r="P30" s="74"/>
      <c r="Q30" s="81"/>
      <c r="R30" s="74"/>
      <c r="S30" s="69"/>
      <c r="T30" s="35"/>
      <c r="U30" s="20"/>
      <c r="V30" s="20"/>
      <c r="W30" s="20"/>
      <c r="X30" s="20"/>
      <c r="Y30" s="20"/>
    </row>
    <row r="31" spans="1:25" ht="18.75" x14ac:dyDescent="0.2">
      <c r="A31" s="16">
        <f ca="1">合計!$A31</f>
        <v>45804</v>
      </c>
      <c r="B31" s="17"/>
      <c r="C31" s="17">
        <f t="shared" si="0"/>
        <v>0</v>
      </c>
      <c r="D31" s="17">
        <f t="shared" si="1"/>
        <v>0</v>
      </c>
      <c r="E31" s="17">
        <f t="shared" si="2"/>
        <v>0</v>
      </c>
      <c r="F31" s="15">
        <f t="shared" si="3"/>
        <v>0</v>
      </c>
      <c r="G31" s="18" t="e">
        <f t="shared" si="4"/>
        <v>#DIV/0!</v>
      </c>
      <c r="H31" s="19"/>
      <c r="J31" s="65"/>
      <c r="K31" s="81"/>
      <c r="L31" s="74"/>
      <c r="M31" s="81"/>
      <c r="N31" s="74"/>
      <c r="O31" s="79"/>
      <c r="P31" s="74"/>
      <c r="Q31" s="81"/>
      <c r="R31" s="74"/>
      <c r="S31" s="69"/>
      <c r="T31" s="35"/>
      <c r="U31" s="20"/>
      <c r="V31" s="20"/>
      <c r="W31" s="20"/>
      <c r="X31" s="20"/>
      <c r="Y31" s="20"/>
    </row>
    <row r="32" spans="1:25" ht="18.75" x14ac:dyDescent="0.2">
      <c r="A32" s="16">
        <f ca="1">合計!$A32</f>
        <v>45805</v>
      </c>
      <c r="B32" s="17"/>
      <c r="C32" s="17">
        <f>B32/1.1</f>
        <v>0</v>
      </c>
      <c r="D32" s="17">
        <f t="shared" si="1"/>
        <v>0</v>
      </c>
      <c r="E32" s="17">
        <f t="shared" si="2"/>
        <v>0</v>
      </c>
      <c r="F32" s="15">
        <f t="shared" si="3"/>
        <v>0</v>
      </c>
      <c r="G32" s="18" t="e">
        <f t="shared" si="4"/>
        <v>#DIV/0!</v>
      </c>
      <c r="H32" s="19"/>
      <c r="J32" s="65"/>
      <c r="K32" s="70"/>
      <c r="L32" s="74"/>
      <c r="M32" s="81"/>
      <c r="N32" s="74"/>
      <c r="O32" s="79"/>
      <c r="P32" s="74"/>
      <c r="Q32" s="81"/>
      <c r="R32" s="74"/>
      <c r="S32" s="69"/>
      <c r="T32" s="20"/>
      <c r="U32" s="20"/>
      <c r="V32" s="20"/>
      <c r="W32" s="20"/>
      <c r="X32" s="20"/>
      <c r="Y32" s="20"/>
    </row>
    <row r="33" spans="1:25" ht="18.75" x14ac:dyDescent="0.2">
      <c r="A33" s="16">
        <f ca="1">合計!$A33</f>
        <v>45806</v>
      </c>
      <c r="B33" s="17"/>
      <c r="C33" s="17">
        <f>B33/1.1</f>
        <v>0</v>
      </c>
      <c r="D33" s="17">
        <f t="shared" si="1"/>
        <v>0</v>
      </c>
      <c r="E33" s="17">
        <f t="shared" si="2"/>
        <v>0</v>
      </c>
      <c r="F33" s="15">
        <f t="shared" si="3"/>
        <v>0</v>
      </c>
      <c r="G33" s="18" t="e">
        <f t="shared" si="4"/>
        <v>#DIV/0!</v>
      </c>
      <c r="H33" s="19"/>
      <c r="J33" s="65"/>
      <c r="K33" s="70"/>
      <c r="L33" s="74"/>
      <c r="M33" s="81"/>
      <c r="N33" s="74"/>
      <c r="O33" s="79"/>
      <c r="P33" s="74"/>
      <c r="Q33" s="81"/>
      <c r="R33" s="74"/>
      <c r="S33" s="69"/>
      <c r="T33" s="20"/>
      <c r="U33" s="20"/>
      <c r="V33" s="20"/>
      <c r="W33" s="20"/>
      <c r="X33" s="20"/>
      <c r="Y33" s="20"/>
    </row>
    <row r="34" spans="1:25" ht="18.75" x14ac:dyDescent="0.4">
      <c r="A34" s="16">
        <f ca="1">合計!$A34</f>
        <v>45807</v>
      </c>
      <c r="B34" s="17"/>
      <c r="C34" s="17">
        <f>B34/1.1</f>
        <v>0</v>
      </c>
      <c r="D34" s="17">
        <f t="shared" si="1"/>
        <v>0</v>
      </c>
      <c r="E34" s="17">
        <f t="shared" si="2"/>
        <v>0</v>
      </c>
      <c r="F34" s="15">
        <f t="shared" si="3"/>
        <v>0</v>
      </c>
      <c r="G34" s="18" t="e">
        <f t="shared" si="4"/>
        <v>#DIV/0!</v>
      </c>
      <c r="H34" s="19"/>
      <c r="J34" s="65"/>
      <c r="K34" s="70"/>
      <c r="L34" s="74"/>
      <c r="M34" s="81"/>
      <c r="N34" s="74"/>
      <c r="O34" s="70"/>
      <c r="P34" s="74"/>
      <c r="Q34" s="70"/>
      <c r="R34" s="74"/>
      <c r="S34" s="69"/>
      <c r="T34" s="20"/>
      <c r="U34" s="20"/>
      <c r="V34" s="20"/>
      <c r="W34" s="20"/>
      <c r="X34" s="20"/>
      <c r="Y34" s="20"/>
    </row>
    <row r="35" spans="1:25" ht="19.5" thickBot="1" x14ac:dyDescent="0.45">
      <c r="A35" s="16">
        <f ca="1">合計!$A35</f>
        <v>45808</v>
      </c>
      <c r="B35" s="17"/>
      <c r="C35" s="17">
        <f t="shared" si="0"/>
        <v>0</v>
      </c>
      <c r="D35" s="17">
        <f t="shared" si="1"/>
        <v>0</v>
      </c>
      <c r="E35" s="17">
        <f t="shared" si="2"/>
        <v>0</v>
      </c>
      <c r="F35" s="15">
        <f t="shared" si="3"/>
        <v>0</v>
      </c>
      <c r="G35" s="18" t="e">
        <f t="shared" si="4"/>
        <v>#DIV/0!</v>
      </c>
      <c r="H35" s="19"/>
      <c r="J35" s="65"/>
      <c r="K35" s="71"/>
      <c r="L35" s="77"/>
      <c r="M35" s="85"/>
      <c r="N35" s="77"/>
      <c r="O35" s="71"/>
      <c r="P35" s="77"/>
      <c r="Q35" s="82"/>
      <c r="R35" s="77"/>
      <c r="S35" s="72"/>
      <c r="T35" s="20"/>
      <c r="U35" s="20"/>
      <c r="V35" s="20"/>
      <c r="W35" s="20"/>
      <c r="X35" s="20"/>
      <c r="Y35" s="20"/>
    </row>
    <row r="36" spans="1:25" ht="16.5" thickBot="1" x14ac:dyDescent="0.45">
      <c r="A36" s="21" t="s">
        <v>24</v>
      </c>
      <c r="B36" s="17"/>
      <c r="C36" s="17">
        <f>B36/1.1</f>
        <v>0</v>
      </c>
      <c r="D36" s="17">
        <f>SUM(D5:D35)</f>
        <v>0</v>
      </c>
      <c r="E36" s="17">
        <f t="shared" si="2"/>
        <v>0</v>
      </c>
      <c r="F36" s="15">
        <f>SUMIF(F5:F34,"&lt;&gt;#VALUE!")</f>
        <v>0</v>
      </c>
      <c r="G36" s="18" t="e">
        <f>D36/C36</f>
        <v>#DIV/0!</v>
      </c>
      <c r="H36" s="19">
        <f>SUM(H5:H35)</f>
        <v>0</v>
      </c>
      <c r="J36" s="66"/>
      <c r="K36" s="73"/>
      <c r="L36" s="66"/>
      <c r="M36" s="73"/>
      <c r="N36" s="22"/>
      <c r="O36" s="23"/>
      <c r="P36" s="66"/>
      <c r="Q36" s="73"/>
      <c r="R36" s="66"/>
      <c r="S36" s="73"/>
    </row>
    <row r="37" spans="1:25" x14ac:dyDescent="0.4">
      <c r="B37" s="24"/>
    </row>
    <row r="38" spans="1:25" x14ac:dyDescent="0.4">
      <c r="J38" s="25"/>
      <c r="K38" s="25"/>
      <c r="L38" s="25"/>
      <c r="M38" s="25"/>
      <c r="N38" s="25"/>
      <c r="O38" s="25"/>
      <c r="Q38" s="25"/>
    </row>
    <row r="39" spans="1:25" x14ac:dyDescent="0.4">
      <c r="K39" s="26"/>
      <c r="M39" s="26"/>
      <c r="N39" s="26"/>
      <c r="O39" s="26"/>
      <c r="Q39" s="26"/>
    </row>
    <row r="40" spans="1:25" x14ac:dyDescent="0.4">
      <c r="K40" s="26"/>
      <c r="M40" s="26"/>
      <c r="N40" s="26"/>
      <c r="O40" s="26"/>
      <c r="Q40" s="26"/>
    </row>
    <row r="45" spans="1:25" x14ac:dyDescent="0.4">
      <c r="C45" s="27"/>
      <c r="G45" s="27"/>
    </row>
    <row r="46" spans="1:25" x14ac:dyDescent="0.4">
      <c r="G46" s="27"/>
    </row>
    <row r="47" spans="1:25" x14ac:dyDescent="0.4">
      <c r="G47" s="27"/>
    </row>
    <row r="48" spans="1:25" x14ac:dyDescent="0.4">
      <c r="G48" s="27"/>
    </row>
    <row r="49" spans="7:7" x14ac:dyDescent="0.4">
      <c r="G49" s="27"/>
    </row>
    <row r="51" spans="7:7" x14ac:dyDescent="0.4">
      <c r="G51" s="27"/>
    </row>
    <row r="53" spans="7:7" x14ac:dyDescent="0.4">
      <c r="G53" s="27"/>
    </row>
    <row r="54" spans="7:7" x14ac:dyDescent="0.4">
      <c r="G54" s="27"/>
    </row>
    <row r="611" spans="2:2" x14ac:dyDescent="0.4">
      <c r="B611" s="1">
        <v>143015.92498000001</v>
      </c>
    </row>
    <row r="705" spans="2:24" x14ac:dyDescent="0.4">
      <c r="B705" s="1">
        <v>68255.106410999899</v>
      </c>
      <c r="U705" s="1">
        <v>0.02</v>
      </c>
      <c r="V705" s="1">
        <v>0</v>
      </c>
      <c r="W705" s="1">
        <v>0</v>
      </c>
      <c r="X705" s="1">
        <v>5197.2</v>
      </c>
    </row>
    <row r="813" spans="2:2" x14ac:dyDescent="0.4">
      <c r="B813" s="1">
        <v>36368.030570000003</v>
      </c>
    </row>
  </sheetData>
  <mergeCells count="1">
    <mergeCell ref="B2:G2"/>
  </mergeCells>
  <phoneticPr fontId="3"/>
  <conditionalFormatting sqref="A5:A35">
    <cfRule type="expression" dxfId="1" priority="1">
      <formula>WEEKDAY(A5)=7</formula>
    </cfRule>
    <cfRule type="expression" dxfId="0" priority="2">
      <formula>WEEKDAY(A5)=1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参照</vt:lpstr>
      <vt:lpstr>合計</vt:lpstr>
      <vt:lpstr>アダルト合計</vt:lpstr>
      <vt:lpstr>アダルトその他</vt:lpstr>
      <vt:lpstr>アプリ</vt:lpstr>
      <vt:lpstr>一般合計</vt:lpstr>
      <vt:lpstr>一般その他</vt:lpstr>
      <vt:lpstr>アドネットワーク</vt:lpstr>
      <vt:lpstr>アイモバイル</vt:lpstr>
      <vt:lpstr>zucks</vt:lpstr>
      <vt:lpstr>UZOU</vt:lpstr>
      <vt:lpstr>ADroute</vt:lpstr>
      <vt:lpstr>Cirqua</vt:lpstr>
      <vt:lpstr>Advision</vt:lpstr>
      <vt:lpstr>Octopus</vt:lpstr>
      <vt:lpstr>Arrow</vt:lpstr>
      <vt:lpstr>advoltex</vt:lpstr>
      <vt:lpstr>Geniee</vt:lpstr>
      <vt:lpstr>mixxAD</vt:lpstr>
      <vt:lpstr>9999_EC自社運用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フィングバイト</dc:creator>
  <cp:lastModifiedBy>小林 慶太</cp:lastModifiedBy>
  <dcterms:created xsi:type="dcterms:W3CDTF">2024-01-29T10:19:49Z</dcterms:created>
  <dcterms:modified xsi:type="dcterms:W3CDTF">2025-05-16T05:32:10Z</dcterms:modified>
</cp:coreProperties>
</file>